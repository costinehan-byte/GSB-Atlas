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5918C0C-DF7A-40AA-BF21-754FF101D9DB}" xr6:coauthVersionLast="47" xr6:coauthVersionMax="47" xr10:uidLastSave="{00000000-0000-0000-0000-000000000000}"/>
  <bookViews>
    <workbookView xWindow="-120" yWindow="-120" windowWidth="38640" windowHeight="21840" tabRatio="500" activeTab="1" xr2:uid="{00000000-000D-0000-FFFF-FFFF00000000}"/>
  </bookViews>
  <sheets>
    <sheet name="Overview" sheetId="1" r:id="rId1"/>
    <sheet name="Full Landscape" sheetId="2" r:id="rId2"/>
    <sheet name="Tier 1 - Direct Competitors" sheetId="3" r:id="rId3"/>
    <sheet name="Fee Benchmark" sheetId="4" r:id="rId4"/>
    <sheet name="Distance from Canggu" sheetId="5" r:id="rId5"/>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Row shading: blue = Green School Bali (subject school), green = Tier 1 direct competitor, yellow = Tier 2, grey = Tier 3. See 'Overview' tab for full tier definitions.</t>
        </r>
      </text>
    </comment>
  </commentList>
</comments>
</file>

<file path=xl/sharedStrings.xml><?xml version="1.0" encoding="utf-8"?>
<sst xmlns="http://schemas.openxmlformats.org/spreadsheetml/2006/main" count="677" uniqueCount="353">
  <si>
    <t>Bali International Schools — Competitive Landscape</t>
  </si>
  <si>
    <t>Prepared for ElevateED / Green School Bali — Corporate Strategy</t>
  </si>
  <si>
    <t>Compiled: 17 August 2026</t>
  </si>
  <si>
    <t>Purpose</t>
  </si>
  <si>
    <t>A landscape of every identifiable international / national-plus school operating in Bali (38 schools), built for management review of Green School Bali's competitive position. Covers curriculum, grade range, current enrollment (where publicly available), tuition fee range, location, and estimated driving distance/time from Canggu.</t>
  </si>
  <si>
    <t>How to use this workbook</t>
  </si>
  <si>
    <t>Full Landscape</t>
  </si>
  <si>
    <t>All 38 schools with the complete attribute set. Filter/sort by tier, curriculum, fee, or distance.</t>
  </si>
  <si>
    <t>Tier 1 - Direct Competitors</t>
  </si>
  <si>
    <t>The 7 schools that most directly compete for Green School Bali's target families, with positioning notes.</t>
  </si>
  <si>
    <t>Fee Benchmark</t>
  </si>
  <si>
    <t>Chart comparing annual tuition ranges (low fee – high fee) across Tier 1 competitors and GSB.</t>
  </si>
  <si>
    <t>Distance from Canggu</t>
  </si>
  <si>
    <t>All schools ranked by estimated drive time from Canggu, with chart.</t>
  </si>
  <si>
    <t>Competitive tiers</t>
  </si>
  <si>
    <t>Tier 1 – Direct</t>
  </si>
  <si>
    <t>Full or near-full EY/PK–12-13 pathway, credible international curriculum (IB/Cambridge/Australian), and scale or brand that puts them in direct consideration alongside GSB for the same target families.</t>
  </si>
  <si>
    <t>Tier 2</t>
  </si>
  <si>
    <t>Partial grade range, single-curriculum or niche positioning (Montessori, French, faith-based, SEN), or limited public data — competes for a subset of GSB's catchment.</t>
  </si>
  <si>
    <t>Tier 3</t>
  </si>
  <si>
    <t>Small, early-years-only, alternative/world-schooling, or geographically distant (North/East Bali) — low direct overlap with GSB's target segment but included for completeness.</t>
  </si>
  <si>
    <t>Methodology &amp; sources</t>
  </si>
  <si>
    <t>• School universe: cross-referenced international-schools-database.com (35 listed schools) against independent web search, Google Places, and individual school websites; added ACS Bali, Taman Rama Intercultural School, and North Bali Bilingual School, which were not on that single list. Excluded purely Indonesian-curriculum kindergartens with no international/Cambridge/IB pathway.</t>
  </si>
  <si>
    <t>• Fees: as published by each school or by international-schools-database.com for the stated academic year, in Indonesian Rupiah (IDR). Where a school does not publish fees, this is stated explicitly rather than estimated. Approx. USD shown at IDR 17,800 = USD 1 (mid-August 2026 market rate) for management reference only — not a school-quoted figure.</t>
  </si>
  <si>
    <t>• Enrollment: as publicly disclosed by the school, a recognised school-data platform, or press coverage. Many schools — particularly Tier 2/3 — do not publish enrollment; this is stated as 'Not publicly disclosed' rather than estimated.</t>
  </si>
  <si>
    <t>• Driving distance/time from Canggu: Canggu reference point is central Canggu (Batu Bolong/Berawa, approx. -8.6560, 115.1350). Straight-line distance calculated via haversine formula from each school's geocoded location (Google Places). Road distance is modelled at 1.35x straight-line (typical for Bali's non-grid road network). Drive time uses a zone-based average speed (18–32 km/h) calibrated against real-world reported trip times (e.g., Canggu–Sanur ~45–90 min, Canggu–Ubud ~45–75 min, Canggu–DPS Airport ~40–90 min for a comparable distance). These are planning-level estimates for TYPICAL DAYTIME traffic, not a live-routing API result — actual trip times vary significantly by time of day and can run 30–50% longer during rush hour (8–10am, 5–7pm) or the Friday/weekend Ubud exodus.</t>
  </si>
  <si>
    <t>• All figures reflect publicly available information as of August 2026 and should be reverified with each school directly before use in board-level materials, particularly fees (which reset each academic year) and enrollment (which several schools do not disclose).</t>
  </si>
  <si>
    <t>School</t>
  </si>
  <si>
    <t>Tier</t>
  </si>
  <si>
    <t>Area / Sub-region</t>
  </si>
  <si>
    <t>Full Address</t>
  </si>
  <si>
    <t>Curriculum</t>
  </si>
  <si>
    <t>Language(s) of Instruction</t>
  </si>
  <si>
    <t>Grade / Age Range</t>
  </si>
  <si>
    <t>Current Enrollment</t>
  </si>
  <si>
    <t>Fee – Low (IDR/yr)</t>
  </si>
  <si>
    <t>Fee – High (IDR/yr)</t>
  </si>
  <si>
    <t>Fee Academic Year / Notes</t>
  </si>
  <si>
    <t>Fee – Low (USD/yr, approx.)</t>
  </si>
  <si>
    <t>Fee – High (USD/yr, approx.)</t>
  </si>
  <si>
    <t>Straight-line km from Canggu</t>
  </si>
  <si>
    <t>Est. Road km from Canggu</t>
  </si>
  <si>
    <t>Est. Drive Time from Canggu (min)</t>
  </si>
  <si>
    <t>Notes / Positioning</t>
  </si>
  <si>
    <t>Source(s)</t>
  </si>
  <si>
    <t>Green School Bali</t>
  </si>
  <si>
    <t>Subject School</t>
  </si>
  <si>
    <t>Sibang Kaja, Abiansemal (Badung)</t>
  </si>
  <si>
    <t>Jl. Raya Sibang Kaja, Banjar Saren, Sibang Kaja, Kec. Abiansemal, Kabupaten Badung, Bali 80352</t>
  </si>
  <si>
    <t>International / progressive, project- &amp; sustainability-based; Green School Diploma (IB-aligned) senior programme</t>
  </si>
  <si>
    <t>English (Bahasa Indonesia, Spanish, French taught)</t>
  </si>
  <si>
    <t>Pre-K – Grade 12 (Ages 3–18)</t>
  </si>
  <si>
    <t>~500 (40+ nationalities; incl. ~30 on Local Scholarship Programme)</t>
  </si>
  <si>
    <t>2025/26</t>
  </si>
  <si>
    <t>Subject school (own reference row). WASC-accredited; consistently reports a significant waiting list.</t>
  </si>
  <si>
    <t>bali.greenschool.org; openapply.com; globalinvestments.net</t>
  </si>
  <si>
    <t>Bali Island School (BIS)</t>
  </si>
  <si>
    <t>Sanur, Denpasar Selatan</t>
  </si>
  <si>
    <t>Jl. Danau Buyan IV No.15, Sanur Kaja, Denpasar Selatan, Kota Denpasar, Bali 80227</t>
  </si>
  <si>
    <t>Full IB continuum: PYP, MYP, DP — only school in Bali authorised for the complete IB continuum from age 3</t>
  </si>
  <si>
    <t>English</t>
  </si>
  <si>
    <t>Preschool – Grade 12 (Ages 3–18)</t>
  </si>
  <si>
    <t>~300+ (last published estimate; not recently updated); 40+ nationalities</t>
  </si>
  <si>
    <t>Bali's longest-established international school; full IB continuum is its key differentiator vs. CCS/GSB (DP only).</t>
  </si>
  <si>
    <t>Wikipedia; bali.com; edarabia.com; international-schools-database.com</t>
  </si>
  <si>
    <t>Canggu Community School (CCS)</t>
  </si>
  <si>
    <t>Tibubeneng/Berawa, Kuta Utara (Badung)</t>
  </si>
  <si>
    <t>Jl. Subak Sari, Banjar Tegal Gundul, Tibubeneng, Kec. Kuta Utara, Kabupaten Badung, Bali 80361</t>
  </si>
  <si>
    <t>British National Curriculum (EY–Y9) → Cambridge IGCSE (Y10–11) → IB Diploma Programme (Y12–13); Indonesian National Curriculum integrated (SPK school)</t>
  </si>
  <si>
    <t>English (+ Indonesian, Spanish, French)</t>
  </si>
  <si>
    <t>Early Years – Year 13 (Ages 3–18/19)</t>
  </si>
  <si>
    <t>~630–650 (43+ nationalities) — largest full-pathway school in the immediate Canggu catchment</t>
  </si>
  <si>
    <t>Closest full-pathway competitor to Green School Bali's core Canggu/Berawa family base; CIS &amp; WASC accredited; 2025 DP average 32pts.</t>
  </si>
  <si>
    <t>school.indonesiaexpat.id; international-schools-guide.com; openapply.com; searchassociates.com</t>
  </si>
  <si>
    <t>Dyatmika School</t>
  </si>
  <si>
    <t>Kesiman Kertalangu, Denpasar Timur</t>
  </si>
  <si>
    <t>Banjar Tangtu, Jl. Pucuk Bang, Kesiman Kertalangu, Kec. Denpasar Timur, Kota Denpasar, Bali 80237</t>
  </si>
  <si>
    <t>Cambridge International (Primary Prep → IGCSE → A-Level); bilingual Indonesian/English in Early Years &amp; Primary</t>
  </si>
  <si>
    <t>English (bilingual EN/ID in early grades)</t>
  </si>
  <si>
    <t>Primary Prep – Class 12 (Ages 3–18)</t>
  </si>
  <si>
    <t>775 (2024/25) — largest enrollment in the landscape; 44 nationalities (Indonesian ~45%, British ~11%, Australian ~8%, American ~5%, Dutch ~5%, Japanese ~4%)</t>
  </si>
  <si>
    <t>n/a</t>
  </si>
  <si>
    <t>Largest school in Bali by enrollment and lowest fee among full-pathway Tier 1 competitors — the primary value/scale threat.</t>
  </si>
  <si>
    <t>Wikipedia (Sekolah Dyatmika); international-schools-database.com</t>
  </si>
  <si>
    <t>Gandhi Memorial Intercontinental School (GMIS Bali)</t>
  </si>
  <si>
    <t>Renon, Denpasar Selatan</t>
  </si>
  <si>
    <t>Jl. Tukad Penet No.8A, Renon, Denpasar Selatan, Kota Denpasar, Bali 80235</t>
  </si>
  <si>
    <t>IB PYP, MYP &amp; DP + Cambridge IGCSE/ICE dual pathway; IBCP also offered</t>
  </si>
  <si>
    <t>English (French, Mandarin, Hindi, Indonesian as additional languages)</t>
  </si>
  <si>
    <t>Nursery – Grade 12 (Ages 3–18)</t>
  </si>
  <si>
    <t>~500 (30+ nationalities)</t>
  </si>
  <si>
    <t>2026/27</t>
  </si>
  <si>
    <t>Positions as an affordable full-IB-continuum alternative — undercuts BIS/CCS/GSB materially on fees while offering PYP-MYP-DP.</t>
  </si>
  <si>
    <t>doris.school; bali.com</t>
  </si>
  <si>
    <t>Australian Independent School Bali (AIS)</t>
  </si>
  <si>
    <t>Pemecutan, Denpasar Barat</t>
  </si>
  <si>
    <t>Jl. Imam Bonjol No.458a, Pemecutan Klod, Kec. Denpasar Barat, Kota Denpasar, Bali 80119</t>
  </si>
  <si>
    <t>Australian Curriculum (ACARA, Foundation–Y10) + IB Diploma Programme, IB Courses, School-Based or Hybrid pathway in Y11–12</t>
  </si>
  <si>
    <t>Preschool – Year 12 (Ages 3–18)</t>
  </si>
  <si>
    <t>Not publicly disclosed</t>
  </si>
  <si>
    <t>IB World School (DP) with an Australian-curriculum core; CIS accredited; NAPLAN participant.</t>
  </si>
  <si>
    <t>doris.school; ais-indonesia.com; edarabia.com; ibo.org</t>
  </si>
  <si>
    <t>ACS Bali</t>
  </si>
  <si>
    <t>Tier 1 – Direct (new entrant)</t>
  </si>
  <si>
    <t>Kura Kura Bali SEZ, Serangan, Denpasar Selatan</t>
  </si>
  <si>
    <t>KEK Kura Kura Bali, Jl. Tides Way No.16, Serangan, Denpasar Selatan, Kota Denpasar, Bali 80229</t>
  </si>
  <si>
    <t>Cambridge International (Grades 1–10) → IB Diploma Programme (Grades 11–12); Methodist heritage/values; House system (Oldham/Thoburn)</t>
  </si>
  <si>
    <t>Grades 1–8 operating 2026/27, expanding one grade/year toward Grade 12 (target ages ~6–18)</t>
  </si>
  <si>
    <t>New school (opened AY2025/26 as 'foundation' cohort); enrollment not disclosed, currently small but built on a 4.8-hectare purpose-built campus with room to scale</t>
  </si>
  <si>
    <t>2026/27 (Grades 1–6 to 9–10; excl. Rp25m capital levy + Rp25m learning-materials + Rp10m application fee)</t>
  </si>
  <si>
    <t>HIGHEST-THREAT new entrant: backed by the ACS Singapore/Jakarta network, sited inside the large-scale Kura Kura Bali eco-development (mangrove/marine setting), and priced at or above CCS — targets the same premium family segment as GSB.</t>
  </si>
  <si>
    <t>acsbali.sch.id; doris.school</t>
  </si>
  <si>
    <t>Taman Rama Intercultural School</t>
  </si>
  <si>
    <t>Ubung Kaja, Denpasar Utara</t>
  </si>
  <si>
    <t>Jl. Cokroaminoto No.382a, Ubung Kaja, Kec. Denpasar Utara, Kota Denpasar, Bali 80116</t>
  </si>
  <si>
    <t>Cambridge International: Primary → Lower Secondary → IGCSE → AS/A-Level; Indonesian national exams also sat (SPK/national-plus)</t>
  </si>
  <si>
    <t>English (French, Mandarin, Japanese, Indonesian taught)</t>
  </si>
  <si>
    <t>Preschool (Toddler–K2) – Year 12 (Ages 2–18)</t>
  </si>
  <si>
    <t>Not published</t>
  </si>
  <si>
    <t>Not publicly published (confirmed via school profile — fee schedule not released)</t>
  </si>
  <si>
    <t>One of Bali's oldest national-plus/Cambridge schools; sister school to Asian Intercultural School Bali (Taman Mahatma Group).</t>
  </si>
  <si>
    <t>doris.school; bali.com; trisbali.sch.id</t>
  </si>
  <si>
    <t>Regents School Bali</t>
  </si>
  <si>
    <t>Renon / Sumerta, Denpasar Timur (3 campuses)</t>
  </si>
  <si>
    <t>Preschool: Jl. Dewi Madri / Waribang; Primary: Jl. Badak Agung No.23X, Sumerta Kelod; Secondary: Jl. Waribang No.20–28, Kesiman Petilan, Denpasar Timur, Bali 80235</t>
  </si>
  <si>
    <t>Cambridge (Primary → Lower Secondary → IGCSE → AS/A-Level) blended with Indonesian Diknas syllabus</t>
  </si>
  <si>
    <t>English (Indonesian, Mandarin taught)</t>
  </si>
  <si>
    <t>Ages 2–17 (Preschool – A-Level/Grade 12 equivalent)</t>
  </si>
  <si>
    <t>Does not publish fees (admission fee ~Rp16m + Rp1.25m registration reported)</t>
  </si>
  <si>
    <t>Secondary campus BAN-SM accredited Grade A; three-campus model split by stage.</t>
  </si>
  <si>
    <t>doris.school; regentsschoolbali.com</t>
  </si>
  <si>
    <t>Sanur Independent School</t>
  </si>
  <si>
    <t>Sanur Kaja, Denpasar Selatan</t>
  </si>
  <si>
    <t>Jl. Tukad Nyali No.35A-B, Sanur Kaja, Denpasar Selatan, Kota Denpasar, Bali 80266</t>
  </si>
  <si>
    <t>British</t>
  </si>
  <si>
    <t>Ages 2–15</t>
  </si>
  <si>
    <t>Notably low-cost positioning relative to other Sanur/Denpasar schools.</t>
  </si>
  <si>
    <t>international-schools-database.com</t>
  </si>
  <si>
    <t>The British School of Bali (BSB)</t>
  </si>
  <si>
    <t>Tier 2 (expanding — watch)</t>
  </si>
  <si>
    <t>Tegallalang, Ubud (Gianyar)</t>
  </si>
  <si>
    <t>Jl. Sri Wedari No.24, Tegallalang, Kecamatan Ubud, Kabupaten Gianyar, Bali 80571</t>
  </si>
  <si>
    <t>English National Curriculum + STEAM/outdoor learning; Yale RULER programme</t>
  </si>
  <si>
    <t>Pre-Nursery – Year 6 currently; Year 7 opens Aug 2026, plans to extend to Year 13</t>
  </si>
  <si>
    <t>Not publicly disclosed (young, growing school)</t>
  </si>
  <si>
    <t>Fee level unusually high for a Primary-only school — signals premium positioning ahead of secondary expansion; worth monitoring as it builds out to Y13.</t>
  </si>
  <si>
    <t>international-schools-database.com; littlestepsasia.com</t>
  </si>
  <si>
    <t>ProEd Global School (Umalas + Nuanu campuses)</t>
  </si>
  <si>
    <t>Umalas (Kuta Utara) &amp; Nuanu Creative City (Tabanan)</t>
  </si>
  <si>
    <t>Umalas: Banjar Anyar Umalas, Jl. Bumbak Dauh, Kerobokan Kelod, Kuta Utara, Badung; Nuanu: Beraban, Kediri, Tabanan Regency</t>
  </si>
  <si>
    <t>British (Edexcel, IGCSE, A-Levels); dedicated SEN support incl. on-site therapists</t>
  </si>
  <si>
    <t>Ages 3–19</t>
  </si>
  <si>
    <t>Two campuses; strong SEN/inclusion positioning; Umalas campus sits inside the Canggu catchment.</t>
  </si>
  <si>
    <t>international-schools-database.com; balivillarealty.com</t>
  </si>
  <si>
    <t>Lycée Français de Bali</t>
  </si>
  <si>
    <t>Tier 2 (niche – Francophone)</t>
  </si>
  <si>
    <t>Umalas, Kuta Utara (Badung)</t>
  </si>
  <si>
    <t>Jalan Umalas Kauh No.76, Kerobokan Kelod, Kec. Kuta Utara, Kabupaten Badung, Bali 80361</t>
  </si>
  <si>
    <t>French national curriculum (AEFE network); accredited by French Ministry of Education, supervised by French Embassy</t>
  </si>
  <si>
    <t>French</t>
  </si>
  <si>
    <t>Ages 2–18</t>
  </si>
  <si>
    <t>Only French-medium school in Bali — captures Francophone families who would otherwise consider GSB/CCS/BIS.</t>
  </si>
  <si>
    <t>Montessori School Bali</t>
  </si>
  <si>
    <t>Jl. Raya Semat No.66, Tibubeneng, Kec. Kuta Utara, Kabupaten Badung, Bali 80361</t>
  </si>
  <si>
    <t>Authentic Montessori (3-year cycle programmes)</t>
  </si>
  <si>
    <t>Ages 1–15 (6 weeks–15 years)</t>
  </si>
  <si>
    <t>Premium Montessori pricing; located directly in the Canggu/Berawa catchment — closest competitor by distance.</t>
  </si>
  <si>
    <t>Sunrise School Bali</t>
  </si>
  <si>
    <t>Kerobokan, Kuta Utara (Badung)</t>
  </si>
  <si>
    <t>Jalan Merthasari, Banjar Pengubengan Kauh, Kerobokan, Kerobokan Kelod, Kuta Utara, Badung, Bali 80361</t>
  </si>
  <si>
    <t>International Early Years Curriculum (IEYC) &amp; International Primary Curriculum (IPC)</t>
  </si>
  <si>
    <t>Ages 2–14</t>
  </si>
  <si>
    <t>Thematic, inquiry-based model; primary-years only (no secondary).</t>
  </si>
  <si>
    <t>Uluwatu School</t>
  </si>
  <si>
    <t>Pecatu, Kuta Selatan (Badung / Uluwatu)</t>
  </si>
  <si>
    <t>Jl. Belimbing Sari No.13x, Pecatu, Kec. Kuta Selatan, Kabupaten Badung, Bali 80361</t>
  </si>
  <si>
    <t>International, inquiry-led, place-based; “ocean literacy” focus</t>
  </si>
  <si>
    <t>Ages 6–14</t>
  </si>
  <si>
    <t>Serves the fast-growing Uluwatu/Bukit expat family segment — a catchment largely outside GSB/CCS's natural pull.</t>
  </si>
  <si>
    <t>Santosa Intercultural School</t>
  </si>
  <si>
    <t>Jl. Tukad Badung No.88, Renon, Denpasar Selatan, Kota Denpasar, Bali 80226</t>
  </si>
  <si>
    <t>Ages 3–18</t>
  </si>
  <si>
    <t>Does not publish fees</t>
  </si>
  <si>
    <t>Character/life-skills positioning alongside academics.</t>
  </si>
  <si>
    <t>Asian Intercultural School Bali</t>
  </si>
  <si>
    <t>Jimbaran, Kuta Selatan (Badung)</t>
  </si>
  <si>
    <t>Perumahan Puri Gading, Jl. Puri Gading Raya, Jimbaran, Kec. Kuta Selatan, Kabupaten Badung, Bali 80361</t>
  </si>
  <si>
    <t>Cambridge International (British)</t>
  </si>
  <si>
    <t>Ages 5–16</t>
  </si>
  <si>
    <t>Sister school to Taman Rama (Taman Mahatma Group); serves the Jimbaran/Bukit catchment.</t>
  </si>
  <si>
    <t>Bhumi Bali School</t>
  </si>
  <si>
    <t>Jl. Raya Kedampang Gg. Madya, Kerobokan, Kec. Kuta Utara, Kabupaten Badung, Bali 80117</t>
  </si>
  <si>
    <t>British (Cambridge guidelines)</t>
  </si>
  <si>
    <t>Ages 3–12</t>
  </si>
  <si>
    <t>Small class sizes / high-attention positioning; primary-years only, inside Canggu catchment.</t>
  </si>
  <si>
    <t>Sekolah Stella Mundi</t>
  </si>
  <si>
    <t>Jalan Tukad Badung IXA No.12, Renon, Denpasar Selatan, Kota Denpasar, Bali 80226</t>
  </si>
  <si>
    <t>British (Cambridge-certified)</t>
  </si>
  <si>
    <t>Play-based/progressive approach; small classes; primary-years focus.</t>
  </si>
  <si>
    <t>Trihita Alam Eco School</t>
  </si>
  <si>
    <t>Tier 2/3</t>
  </si>
  <si>
    <t>Sidakarya, Denpasar Selatan</t>
  </si>
  <si>
    <t>Jl. Tukad Badung XXV No.80-88, Sidakarya, Denpasar Selatan, Kota Denpasar, Bali 80224</t>
  </si>
  <si>
    <t>Play-based, secular, independent</t>
  </si>
  <si>
    <t>Eco/nature-play positioning.</t>
  </si>
  <si>
    <t>Bilingual Community School (BCS Bali)</t>
  </si>
  <si>
    <t>Jl. Raya Kedampang Gg. BCS No.1, Kerobokan, Kec. Kuta Utara, Kabupaten Badung, Bali 80361</t>
  </si>
  <si>
    <t>British + Indonesian</t>
  </si>
  <si>
    <t>English, Indonesian</t>
  </si>
  <si>
    <t>Ages 1–12</t>
  </si>
  <si>
    <t>Low-cost bilingual option inside the Canggu catchment; primary-years only.</t>
  </si>
  <si>
    <t>Children of the World School</t>
  </si>
  <si>
    <t>Dalung, Kuta Utara (Badung)</t>
  </si>
  <si>
    <t>Jalan Muda Taki No.VI, Tegal Jaya, Dalung, Kec. Kuta Utara, Kabupaten Badung, Bali 80361</t>
  </si>
  <si>
    <t>British (formerly ABC School)</t>
  </si>
  <si>
    <t>Non-profit, family-oriented positioning.</t>
  </si>
  <si>
    <t>Grow in Kedungu</t>
  </si>
  <si>
    <t>Belalang/Kedungu, Kediri (Tabanan)</t>
  </si>
  <si>
    <t>Jalan Pantai Kedungu, Belalang, Kec. Kediri, Kabupaten Tabanan, Bali 82121</t>
  </si>
  <si>
    <t>Ages 4–12</t>
  </si>
  <si>
    <t>Small, primary-years school in the fast-growing Kedungu/Tabanan coastal corridor.</t>
  </si>
  <si>
    <t>Marigold Community Learning</t>
  </si>
  <si>
    <t>Pererenan, Mengwi (Badung)</t>
  </si>
  <si>
    <t>Jl. Raya Tumbakbayuh, Pererenan, Kec. Mengwi, Kabupaten Badung, Bali 80351</t>
  </si>
  <si>
    <t>British / play-based, whole-child</t>
  </si>
  <si>
    <t>Social-emotional-learning focus; inside the greater Canggu/Pererenan catchment.</t>
  </si>
  <si>
    <t>Skyhawk Academy</t>
  </si>
  <si>
    <t>Buwit, Kediri (Tabanan)</t>
  </si>
  <si>
    <t>Jl. Buwit No.316, Buwit, Kec. Kediri, Kabupaten Tabanan, Bali 82121</t>
  </si>
  <si>
    <t>British (National Curriculum of England)</t>
  </si>
  <si>
    <t>Ages 4–18</t>
  </si>
  <si>
    <t>2026/27 (flat fee)</t>
  </si>
  <si>
    <t>Single flat annual fee regardless of age/grade — unusual pricing model.</t>
  </si>
  <si>
    <t>Future Human School Bali</t>
  </si>
  <si>
    <t>Tier 3 – niche</t>
  </si>
  <si>
    <t>Mas, Ubud (Gianyar)</t>
  </si>
  <si>
    <t>Samyama Meditation Centre, Jl. Cempaka, Br. Kumbuh, Mas, Kecamatan Ubud, Kabupaten Gianyar, Bali 80571</t>
  </si>
  <si>
    <t>International / project-based; mentor model, portfolio-based (no traditional grading)</t>
  </si>
  <si>
    <t>Ages 9–17</t>
  </si>
  <si>
    <t>Not publicly disclosed (small, mentor-led cohort)</t>
  </si>
  <si>
    <t>2025/26 (flat fee)</t>
  </si>
  <si>
    <t>Alternative/world-schooling positioning; secondary-age only.</t>
  </si>
  <si>
    <t>Pelangi School</t>
  </si>
  <si>
    <t>Mas, Ubud, Gianyar Regency, Bali 80571</t>
  </si>
  <si>
    <t>International</t>
  </si>
  <si>
    <t>Not-for-profit, Ubud-area alternative school.</t>
  </si>
  <si>
    <t>Spark Bali</t>
  </si>
  <si>
    <t>Sayan, Ubud (Gianyar)</t>
  </si>
  <si>
    <t>Jl. Puskesmas, Sayan, Kecamatan Ubud, Kabupaten Gianyar, Bali 80571</t>
  </si>
  <si>
    <t>British / project-based (IGCSE, A-Level pathways)</t>
  </si>
  <si>
    <t>Ages 12–18</t>
  </si>
  <si>
    <t>Not publicly disclosed (small classes by design)</t>
  </si>
  <si>
    <t>Secondary-only, small-cohort positioning in Ubud.</t>
  </si>
  <si>
    <t>Bali Earth School</t>
  </si>
  <si>
    <t>Peliatan, Ubud (Gianyar)</t>
  </si>
  <si>
    <t>Jl. Raya Andong No.9, Peliatan, Kecamatan Ubud, Kabupaten Gianyar, Bali 80571</t>
  </si>
  <si>
    <t>SEN-focused / project-based learning</t>
  </si>
  <si>
    <t>Ages 4–15</t>
  </si>
  <si>
    <t>Holistic/nature-connection model with SEN inclusion focus.</t>
  </si>
  <si>
    <t>Empathy School International (Nature School)</t>
  </si>
  <si>
    <t>Tampaksiring (Gianyar)</t>
  </si>
  <si>
    <t>Jl. Empathy, Pejeng Kangin, Kec. Tampaksiring, Kabupaten Gianyar, Bali 80552</t>
  </si>
  <si>
    <t>Montessori + Nature School / project-based</t>
  </si>
  <si>
    <t>Nature-immersion Montessori hybrid, far Ubud/Tampaksiring catchment.</t>
  </si>
  <si>
    <t>Sekolah Montessori ERDKINDER Bali</t>
  </si>
  <si>
    <t>Subak Kana, Banjar Panglan, Pejeng, Kec. Tampaksiring, Kabupaten Gianyar, Bali 80552</t>
  </si>
  <si>
    <t>Montessori</t>
  </si>
  <si>
    <t>Ages 3–15</t>
  </si>
  <si>
    <t>Bio-architecture campus (rammed earth, octagon building) near central Ubud.</t>
  </si>
  <si>
    <t>Joglo Clubhouse School</t>
  </si>
  <si>
    <t>Munggu, Mengwi (Badung)</t>
  </si>
  <si>
    <t>Jl. Raya Munggu, Munggu, Kec. Mengwi, Kabupaten Badung, Bali 80351</t>
  </si>
  <si>
    <t>International, informal / flexible-enrolment model</t>
  </si>
  <si>
    <t>Ages 4–11</t>
  </si>
  <si>
    <t>Not publicly disclosed (short-term/seasonal enrolments common)</t>
  </si>
  <si>
    <t>Positioned for short-term/visiting families as well as long-term residents; not a full-pathway threat.</t>
  </si>
  <si>
    <t>Sekolah Lentera Kasih</t>
  </si>
  <si>
    <t>Banjar Abasan, Jl. Gunung Salak Utara No.88, Kerobokan, Kec. Kuta Utara, Kabupaten Badung, Bali 80117</t>
  </si>
  <si>
    <t>Small, family-style school; individual attention positioning.</t>
  </si>
  <si>
    <t>Enlight Christian School</t>
  </si>
  <si>
    <t>Padangsambian Klod, Denpasar Barat</t>
  </si>
  <si>
    <t>Jl. Kubu Bias, Padangsambian Klod, Kec. Denpasar Barat, Kota Denpasar, Bali 80119</t>
  </si>
  <si>
    <t>American + Christian</t>
  </si>
  <si>
    <t>Lowest-cost school in the full landscape; faith-based curriculum.</t>
  </si>
  <si>
    <t>Amed Honeycomb School</t>
  </si>
  <si>
    <t>Tier 3 – different catchment</t>
  </si>
  <si>
    <t>Amed, Abang (Karangasem — far East Bali)</t>
  </si>
  <si>
    <t>Jalan Amed Celuk, Purwakerti, Kec. Abang, Kabupaten Karangasem, Bali 80852</t>
  </si>
  <si>
    <t>British (EYFS – iGCSE)</t>
  </si>
  <si>
    <t>Ages 2–16</t>
  </si>
  <si>
    <t>Non-profit school serving the East Bali/Amed dive-tourism community — outside any realistic GSB catchment.</t>
  </si>
  <si>
    <t>Singaraja Montessori School</t>
  </si>
  <si>
    <t>Sukasada (Buleleng — North Bali)</t>
  </si>
  <si>
    <t>Banjar Dinas Lebahsiung, Panji Anom, Kec. Sukasada, Kabupaten Buleleng, Bali 81116</t>
  </si>
  <si>
    <t>Montessori, bilingual (Indonesian primary / English secondary)</t>
  </si>
  <si>
    <t>Indonesian, English</t>
  </si>
  <si>
    <t>2024/25</t>
  </si>
  <si>
    <t>Serves the North Bali (Singaraja) community — different catchment entirely.</t>
  </si>
  <si>
    <t>North Bali Bilingual School</t>
  </si>
  <si>
    <t>Bangah, Jl. Gn. Rinjani, Panji, Kec. Sukasada, Kabupaten Buleleng, Bali 81119</t>
  </si>
  <si>
    <t>Bilingual (curriculum detail not independently confirmed)</t>
  </si>
  <si>
    <t>Not independently confirmed</t>
  </si>
  <si>
    <t>Identified via Places search; limited public information available — recommend direct outreach if North Bali competitive intel is needed.</t>
  </si>
  <si>
    <t>Google Places</t>
  </si>
  <si>
    <t>Area</t>
  </si>
  <si>
    <t>Grade Range</t>
  </si>
  <si>
    <t>Fee Range (IDR/yr)</t>
  </si>
  <si>
    <t>Fee Range (USD/yr, approx.)</t>
  </si>
  <si>
    <t>Drive Time from Canggu</t>
  </si>
  <si>
    <t>Why it competes with GSB</t>
  </si>
  <si>
    <t>Key watch-out</t>
  </si>
  <si>
    <t>72,252,000 – 302,388,000</t>
  </si>
  <si>
    <t>$4,059 – $16,988</t>
  </si>
  <si>
    <t>~55 min (18.4 km)</t>
  </si>
  <si>
    <t>Only school in Bali authorised to run the full IB continuum (PYP-MYP-DP) from age 3 — directly overlaps GSB's international-curriculum, Sanur/South Denpasar expat families.</t>
  </si>
  <si>
    <t>Enrollment figures haven't been updated publicly in years — verify current scale via direct channel checks or admissions contacts.</t>
  </si>
  <si>
    <t>139,000,000 – 295,500,000</t>
  </si>
  <si>
    <t>$7,809 – $16,601</t>
  </si>
  <si>
    <t>~7 min (2.2 km)</t>
  </si>
  <si>
    <t>Sits inside Canggu/Berawa — the same physical catchment as many GSB families — with the largest full-pathway enrollment (~650) after Dyatmika, plus a 2025 DP average of 32 points and Russell Group/UCL-tier leaver outcomes.</t>
  </si>
  <si>
    <t>Its 2025/26-27 fee ceiling (up to ~Rp295-300m for IB Diploma years) now rivals GSB's top fee band — erodes GSB's fee gap advantage.</t>
  </si>
  <si>
    <t>47,620,000 – 147,293,000</t>
  </si>
  <si>
    <t>$2,675 – $8,275</t>
  </si>
  <si>
    <t>~58 min (19.4 km)</t>
  </si>
  <si>
    <t>Largest school in the entire landscape (775 students, 44 nationalities) at roughly a third of GSB's top fee — the biggest scale-and-value threat for price-sensitive expat and local-Indonesian families.</t>
  </si>
  <si>
    <t>Bilingual EY/Primary model appeals to Indonesian and long-stay expat families that GSB also targets for its Local Scholarship cohort.</t>
  </si>
  <si>
    <t>76,000,000 – 177,000,000</t>
  </si>
  <si>
    <t>$4,270 – $9,944</t>
  </si>
  <si>
    <t>~49 min (16.5 km)</t>
  </si>
  <si>
    <t>Full IB continuum (PYP/MYP/DP) plus Cambridge IGCSE dual-pathway at roughly half GSB's fee ceiling — an affordable full-IB alternative in Renon.</t>
  </si>
  <si>
    <t>Positioning is explicitly 'affordable IB' — could pull price-sensitive IB-seeking families before they reach GSB's price point.</t>
  </si>
  <si>
    <t>82,330,000 – 253,520,000</t>
  </si>
  <si>
    <t>$4,625 – $14,243</t>
  </si>
  <si>
    <t>~29 min (9.6 km)</t>
  </si>
  <si>
    <t>IB World School (DP) with an Australian-curriculum core and CIS accreditation — competes for the same internationally-mobile, university-bound family segment.</t>
  </si>
  <si>
    <t>Enrollment not disclosed — recommend direct competitive intelligence gathering on current scale and DP cohort size.</t>
  </si>
  <si>
    <t>230,000,000 – 280,000,000</t>
  </si>
  <si>
    <t>$12,921 – $15,730</t>
  </si>
  <si>
    <t>~48 min (19.2 km)</t>
  </si>
  <si>
    <t>Newest and highest-capital entrant: purpose-built 4.8-hectare campus inside the large-scale Kura Kura Bali SEZ, backed by the ACS Singapore/Jakarta brand, Cambridge-to-IBDP pathway, and fees already at/above CCS's top band.</t>
  </si>
  <si>
    <t>Still a foundation cohort (opened 2025/26, Grades 1-8 in 2026/27) — but scale, backing, and land available inside Kura Kura Bali make this the single highest-trajectory threat to monitor over the next 2-3 admissions cycles.</t>
  </si>
  <si>
    <t>Not publicly published</t>
  </si>
  <si>
    <t>~33 min (10.9 km)</t>
  </si>
  <si>
    <t>One of Bali's oldest Cambridge/national-plus schools (Cambridge-registered since 2003) with a long-standing reputation among long-term expat and Indonesian families in Denpasar.</t>
  </si>
  <si>
    <t>Fees are not publicly published — true price positioning versus GSB is unverified and should be sourced directly.</t>
  </si>
  <si>
    <t>Annual Tuition Fee Range — Tier 1 Direct Competitors vs. Green School Bali</t>
  </si>
  <si>
    <t>IDR millions per year; low = entry-level fee (Early Years), high = top fee (senior secondary / diploma years)</t>
  </si>
  <si>
    <t>Fee Low (IDR mm)</t>
  </si>
  <si>
    <t>Fee High (IDR mm)</t>
  </si>
  <si>
    <t>All Schools Ranked by Estimated Drive Time from Canggu</t>
  </si>
  <si>
    <t>See 'Overview' tab for distance methodology. Typical daytime estimate — add 30-50% during rush hour (8-10am, 5-7pm) or Fri/weekend Ubud traffic.</t>
  </si>
  <si>
    <t>Est. Road Distance (km)</t>
  </si>
  <si>
    <t>Est. Drive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</si>
</sst>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8" x14ac:knownFonts="1">
    <font>
      <sz val="11"/>
      <color theme="1"/>
      <name val="Calibri"/>
      <family val="2"/>
      <charset val="1"/>
    </font>
    <font>
      <b/>
      <sz val="16"/>
      <color rgb="FF1F3864"/>
      <name val="Arial"/>
      <charset val="1"/>
    </font>
    <font>
      <i/>
      <sz val="10"/>
      <color rgb="FF595959"/>
      <name val="Arial"/>
      <charset val="1"/>
    </font>
    <font>
      <b/>
      <sz val="12"/>
      <color rgb="FF1F3864"/>
      <name val="Arial"/>
      <charset val="1"/>
    </font>
    <font>
      <sz val="10"/>
      <name val="Arial"/>
      <charset val="1"/>
    </font>
    <font>
      <b/>
      <sz val="10"/>
      <name val="Arial"/>
      <charset val="1"/>
    </font>
    <font>
      <b/>
      <sz val="10"/>
      <color rgb="FFFFFFFF"/>
      <name val="Arial"/>
      <charset val="1"/>
    </font>
    <font>
      <sz val="10"/>
      <name val="Arial"/>
      <family val="2"/>
    </font>
  </fonts>
  <fills count="7">
    <fill>
      <patternFill patternType="none"/>
    </fill>
    <fill>
      <patternFill patternType="gray125"/>
    </fill>
    <fill>
      <patternFill patternType="solid">
        <fgColor rgb="FFE2EFDA"/>
        <bgColor rgb="FFF2F2F2"/>
      </patternFill>
    </fill>
    <fill>
      <patternFill patternType="solid">
        <fgColor rgb="FFFFF2CC"/>
        <bgColor rgb="FFF2F2F2"/>
      </patternFill>
    </fill>
    <fill>
      <patternFill patternType="solid">
        <fgColor rgb="FFF2F2F2"/>
        <bgColor rgb="FFF9F9F9"/>
      </patternFill>
    </fill>
    <fill>
      <patternFill patternType="solid">
        <fgColor rgb="FF1F3864"/>
        <bgColor rgb="FF333333"/>
      </patternFill>
    </fill>
    <fill>
      <patternFill patternType="solid">
        <fgColor rgb="FFC6E0F5"/>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4" fillId="0" borderId="0" xfId="0" applyFont="1" applyAlignment="1">
      <alignment horizontal="left" vertical="top" wrapText="1"/>
    </xf>
    <xf numFmtId="0" fontId="1" fillId="0" borderId="0" xfId="0" applyFont="1"/>
    <xf numFmtId="0" fontId="2" fillId="0" borderId="0" xfId="0" applyFont="1"/>
    <xf numFmtId="0" fontId="3" fillId="0" borderId="0" xfId="0" applyFont="1"/>
    <xf numFmtId="0" fontId="5" fillId="0" borderId="0" xfId="0" applyFont="1"/>
    <xf numFmtId="0" fontId="5" fillId="2" borderId="0" xfId="0" applyFont="1" applyFill="1"/>
    <xf numFmtId="0" fontId="5" fillId="3" borderId="0" xfId="0" applyFont="1" applyFill="1"/>
    <xf numFmtId="0" fontId="5" fillId="4" borderId="0" xfId="0" applyFont="1" applyFill="1"/>
    <xf numFmtId="0" fontId="6" fillId="5"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164" fontId="4" fillId="6" borderId="1" xfId="0" applyNumberFormat="1" applyFont="1" applyFill="1" applyBorder="1" applyAlignment="1">
      <alignment horizontal="left" vertical="top" wrapText="1"/>
    </xf>
    <xf numFmtId="165" fontId="4" fillId="6" borderId="1" xfId="0" applyNumberFormat="1" applyFont="1" applyFill="1" applyBorder="1" applyAlignment="1">
      <alignment horizontal="left" vertical="top" wrapText="1"/>
    </xf>
    <xf numFmtId="1" fontId="4" fillId="6" borderId="1" xfId="0" applyNumberFormat="1" applyFont="1" applyFill="1" applyBorder="1" applyAlignment="1">
      <alignment horizontal="left" vertical="top" wrapText="1"/>
    </xf>
    <xf numFmtId="0" fontId="5"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3" fontId="4" fillId="2" borderId="1" xfId="0" applyNumberFormat="1" applyFont="1" applyFill="1" applyBorder="1" applyAlignment="1">
      <alignment horizontal="left" vertical="top" wrapText="1"/>
    </xf>
    <xf numFmtId="164" fontId="4" fillId="2" borderId="1" xfId="0" applyNumberFormat="1" applyFont="1" applyFill="1" applyBorder="1" applyAlignment="1">
      <alignment horizontal="left" vertical="top" wrapText="1"/>
    </xf>
    <xf numFmtId="165" fontId="4" fillId="2" borderId="1" xfId="0" applyNumberFormat="1" applyFont="1" applyFill="1" applyBorder="1" applyAlignment="1">
      <alignment horizontal="left" vertical="top" wrapText="1"/>
    </xf>
    <xf numFmtId="1" fontId="4" fillId="2"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left" vertical="top" wrapText="1"/>
    </xf>
    <xf numFmtId="1" fontId="4" fillId="3" borderId="1" xfId="0" applyNumberFormat="1" applyFont="1" applyFill="1" applyBorder="1" applyAlignment="1">
      <alignment horizontal="left" vertical="top" wrapText="1"/>
    </xf>
    <xf numFmtId="3" fontId="4" fillId="3" borderId="1" xfId="0" applyNumberFormat="1"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3" fontId="4" fillId="4" borderId="1" xfId="0" applyNumberFormat="1" applyFont="1" applyFill="1" applyBorder="1" applyAlignment="1">
      <alignment horizontal="left" vertical="top" wrapText="1"/>
    </xf>
    <xf numFmtId="164" fontId="4" fillId="4" borderId="1" xfId="0" applyNumberFormat="1" applyFont="1" applyFill="1" applyBorder="1" applyAlignment="1">
      <alignment horizontal="left" vertical="top" wrapText="1"/>
    </xf>
    <xf numFmtId="165" fontId="4" fillId="4" borderId="1" xfId="0" applyNumberFormat="1" applyFont="1" applyFill="1" applyBorder="1" applyAlignment="1">
      <alignment horizontal="left" vertical="top" wrapText="1"/>
    </xf>
    <xf numFmtId="1" fontId="4" fillId="4" borderId="1" xfId="0" applyNumberFormat="1" applyFont="1" applyFill="1" applyBorder="1" applyAlignment="1">
      <alignment horizontal="left" vertical="top" wrapText="1"/>
    </xf>
    <xf numFmtId="0" fontId="6" fillId="5" borderId="1" xfId="0" applyFont="1" applyFill="1" applyBorder="1"/>
    <xf numFmtId="0" fontId="4" fillId="0" borderId="1" xfId="0" applyFont="1" applyBorder="1"/>
    <xf numFmtId="0" fontId="5" fillId="6" borderId="1" xfId="0" applyFont="1" applyFill="1" applyBorder="1"/>
    <xf numFmtId="0" fontId="4" fillId="3" borderId="1" xfId="0" applyFont="1" applyFill="1" applyBorder="1"/>
    <xf numFmtId="0" fontId="4" fillId="2" borderId="1" xfId="0" applyFont="1" applyFill="1" applyBorder="1"/>
    <xf numFmtId="0" fontId="4" fillId="4"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F2F2F2"/>
      <rgbColor rgb="FF660066"/>
      <rgbColor rgb="FFFF8080"/>
      <rgbColor rgb="FF0066CC"/>
      <rgbColor rgb="FFC6E0F5"/>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D9D9D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SG" sz="1800" b="1" strike="noStrike" spc="-1">
                <a:solidFill>
                  <a:srgbClr val="000000"/>
                </a:solidFill>
                <a:latin typeface="Calibri"/>
              </a:rPr>
              <a:t>Annual Tuition Range by School (IDR millions)</a:t>
            </a:r>
          </a:p>
        </c:rich>
      </c:tx>
      <c:overlay val="0"/>
      <c:spPr>
        <a:noFill/>
        <a:ln w="0">
          <a:noFill/>
        </a:ln>
      </c:spPr>
    </c:title>
    <c:autoTitleDeleted val="0"/>
    <c:plotArea>
      <c:layout/>
      <c:barChart>
        <c:barDir val="bar"/>
        <c:grouping val="clustered"/>
        <c:varyColors val="0"/>
        <c:ser>
          <c:idx val="0"/>
          <c:order val="0"/>
          <c:tx>
            <c:strRef>
              <c:f>'Fee Benchmark'!$B$4</c:f>
              <c:strCache>
                <c:ptCount val="1"/>
                <c:pt idx="0">
                  <c:v>Fee Low (IDR mm)</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'Fee Benchmark'!$A$5:$A$11</c:f>
              <c:strCache>
                <c:ptCount val="7"/>
                <c:pt idx="0">
                  <c:v>Dyatmika School</c:v>
                </c:pt>
                <c:pt idx="1">
                  <c:v>Gandhi Memorial Intercontinental School (GMIS Bali)</c:v>
                </c:pt>
                <c:pt idx="2">
                  <c:v>Australian Independent School Bali (AIS)</c:v>
                </c:pt>
                <c:pt idx="3">
                  <c:v>ACS Bali</c:v>
                </c:pt>
                <c:pt idx="4">
                  <c:v>Canggu Community School (CCS)</c:v>
                </c:pt>
                <c:pt idx="5">
                  <c:v>Bali Island School (BIS)</c:v>
                </c:pt>
                <c:pt idx="6">
                  <c:v>Green School Bali</c:v>
                </c:pt>
              </c:strCache>
            </c:strRef>
          </c:cat>
          <c:val>
            <c:numRef>
              <c:f>'Fee Benchmark'!$B$5:$B$11</c:f>
              <c:numCache>
                <c:formatCode>General</c:formatCode>
                <c:ptCount val="7"/>
                <c:pt idx="0">
                  <c:v>47.6</c:v>
                </c:pt>
                <c:pt idx="1">
                  <c:v>76</c:v>
                </c:pt>
                <c:pt idx="2">
                  <c:v>82.3</c:v>
                </c:pt>
                <c:pt idx="3">
                  <c:v>230</c:v>
                </c:pt>
                <c:pt idx="4">
                  <c:v>139</c:v>
                </c:pt>
                <c:pt idx="5">
                  <c:v>72.3</c:v>
                </c:pt>
                <c:pt idx="6">
                  <c:v>177.8</c:v>
                </c:pt>
              </c:numCache>
            </c:numRef>
          </c:val>
          <c:extLst>
            <c:ext xmlns:c16="http://schemas.microsoft.com/office/drawing/2014/chart" uri="{C3380CC4-5D6E-409C-BE32-E72D297353CC}">
              <c16:uniqueId val="{00000000-419D-4CF6-8AD2-FF0C30551CC4}"/>
            </c:ext>
          </c:extLst>
        </c:ser>
        <c:ser>
          <c:idx val="1"/>
          <c:order val="1"/>
          <c:tx>
            <c:strRef>
              <c:f>'Fee Benchmark'!$C$4</c:f>
              <c:strCache>
                <c:ptCount val="1"/>
                <c:pt idx="0">
                  <c:v>Fee High (IDR mm)</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'Fee Benchmark'!$A$5:$A$11</c:f>
              <c:strCache>
                <c:ptCount val="7"/>
                <c:pt idx="0">
                  <c:v>Dyatmika School</c:v>
                </c:pt>
                <c:pt idx="1">
                  <c:v>Gandhi Memorial Intercontinental School (GMIS Bali)</c:v>
                </c:pt>
                <c:pt idx="2">
                  <c:v>Australian Independent School Bali (AIS)</c:v>
                </c:pt>
                <c:pt idx="3">
                  <c:v>ACS Bali</c:v>
                </c:pt>
                <c:pt idx="4">
                  <c:v>Canggu Community School (CCS)</c:v>
                </c:pt>
                <c:pt idx="5">
                  <c:v>Bali Island School (BIS)</c:v>
                </c:pt>
                <c:pt idx="6">
                  <c:v>Green School Bali</c:v>
                </c:pt>
              </c:strCache>
            </c:strRef>
          </c:cat>
          <c:val>
            <c:numRef>
              <c:f>'Fee Benchmark'!$C$5:$C$11</c:f>
              <c:numCache>
                <c:formatCode>General</c:formatCode>
                <c:ptCount val="7"/>
                <c:pt idx="0">
                  <c:v>147.30000000000001</c:v>
                </c:pt>
                <c:pt idx="1">
                  <c:v>177</c:v>
                </c:pt>
                <c:pt idx="2">
                  <c:v>253.5</c:v>
                </c:pt>
                <c:pt idx="3">
                  <c:v>280</c:v>
                </c:pt>
                <c:pt idx="4">
                  <c:v>295.5</c:v>
                </c:pt>
                <c:pt idx="5">
                  <c:v>302.39999999999998</c:v>
                </c:pt>
                <c:pt idx="6">
                  <c:v>319</c:v>
                </c:pt>
              </c:numCache>
            </c:numRef>
          </c:val>
          <c:extLst>
            <c:ext xmlns:c16="http://schemas.microsoft.com/office/drawing/2014/chart" uri="{C3380CC4-5D6E-409C-BE32-E72D297353CC}">
              <c16:uniqueId val="{00000001-419D-4CF6-8AD2-FF0C30551CC4}"/>
            </c:ext>
          </c:extLst>
        </c:ser>
        <c:dLbls>
          <c:showLegendKey val="0"/>
          <c:showVal val="0"/>
          <c:showCatName val="0"/>
          <c:showSerName val="0"/>
          <c:showPercent val="0"/>
          <c:showBubbleSize val="0"/>
        </c:dLbls>
        <c:gapWidth val="150"/>
        <c:overlap val="-20"/>
        <c:axId val="5382766"/>
        <c:axId val="80477831"/>
      </c:barChart>
      <c:catAx>
        <c:axId val="5382766"/>
        <c:scaling>
          <c:orientation val="minMax"/>
        </c:scaling>
        <c:delete val="0"/>
        <c:axPos val="l"/>
        <c:title>
          <c:tx>
            <c:rich>
              <a:bodyPr rot="-5400000"/>
              <a:lstStyle/>
              <a:p>
                <a:pPr>
                  <a:defRPr sz="1000" b="1" strike="noStrike" spc="-1">
                    <a:solidFill>
                      <a:srgbClr val="000000"/>
                    </a:solidFill>
                    <a:latin typeface="Calibri"/>
                  </a:defRPr>
                </a:pPr>
                <a:r>
                  <a:rPr lang="en-SG" sz="1000" b="1" strike="noStrike" spc="-1">
                    <a:solidFill>
                      <a:srgbClr val="000000"/>
                    </a:solidFill>
                    <a:latin typeface="Calibri"/>
                  </a:rPr>
                  <a:t>IDR millions /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77831"/>
        <c:crosses val="autoZero"/>
        <c:auto val="1"/>
        <c:lblAlgn val="ctr"/>
        <c:lblOffset val="100"/>
        <c:noMultiLvlLbl val="0"/>
      </c:catAx>
      <c:valAx>
        <c:axId val="80477831"/>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8276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SG" sz="1800" b="1" strike="noStrike" spc="-1">
                <a:solidFill>
                  <a:srgbClr val="000000"/>
                </a:solidFill>
                <a:latin typeface="Calibri"/>
              </a:rPr>
              <a:t>Estimated Drive Time from Canggu (minutes)</a:t>
            </a:r>
          </a:p>
        </c:rich>
      </c:tx>
      <c:overlay val="0"/>
      <c:spPr>
        <a:noFill/>
        <a:ln w="0">
          <a:noFill/>
        </a:ln>
      </c:spPr>
    </c:title>
    <c:autoTitleDeleted val="0"/>
    <c:plotArea>
      <c:layout/>
      <c:barChart>
        <c:barDir val="bar"/>
        <c:grouping val="clustered"/>
        <c:varyColors val="0"/>
        <c:ser>
          <c:idx val="0"/>
          <c:order val="0"/>
          <c:tx>
            <c:strRef>
              <c:f>'Distance from Canggu'!$D$4</c:f>
              <c:strCache>
                <c:ptCount val="1"/>
                <c:pt idx="0">
                  <c:v>Est. Drive Time (min)</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'Distance from Canggu'!$A$5:$A$42</c:f>
              <c:strCache>
                <c:ptCount val="38"/>
                <c:pt idx="0">
                  <c:v>Montessori School Bali</c:v>
                </c:pt>
                <c:pt idx="1">
                  <c:v>Canggu Community School (CCS)</c:v>
                </c:pt>
                <c:pt idx="2">
                  <c:v>ProEd Global School (Umalas + Nuanu campuses)</c:v>
                </c:pt>
                <c:pt idx="3">
                  <c:v>Lycée Français de Bali</c:v>
                </c:pt>
                <c:pt idx="4">
                  <c:v>Marigold Community Learning</c:v>
                </c:pt>
                <c:pt idx="5">
                  <c:v>Joglo Clubhouse School</c:v>
                </c:pt>
                <c:pt idx="6">
                  <c:v>Bilingual Community School (BCS Bali)</c:v>
                </c:pt>
                <c:pt idx="7">
                  <c:v>Sunrise School Bali</c:v>
                </c:pt>
                <c:pt idx="8">
                  <c:v>Bhumi Bali School</c:v>
                </c:pt>
                <c:pt idx="9">
                  <c:v>Children of the World School</c:v>
                </c:pt>
                <c:pt idx="10">
                  <c:v>Sekolah Lentera Kasih</c:v>
                </c:pt>
                <c:pt idx="11">
                  <c:v>Skyhawk Academy</c:v>
                </c:pt>
                <c:pt idx="12">
                  <c:v>Enlight Christian School</c:v>
                </c:pt>
                <c:pt idx="13">
                  <c:v>Grow in Kedungu</c:v>
                </c:pt>
                <c:pt idx="14">
                  <c:v>Australian Independent School Bali (AIS)</c:v>
                </c:pt>
                <c:pt idx="15">
                  <c:v>Taman Rama Intercultural School</c:v>
                </c:pt>
                <c:pt idx="16">
                  <c:v>Regents School Bali</c:v>
                </c:pt>
                <c:pt idx="17">
                  <c:v>Green School Bali</c:v>
                </c:pt>
                <c:pt idx="18">
                  <c:v>ACS Bali</c:v>
                </c:pt>
                <c:pt idx="19">
                  <c:v>Santosa Intercultural School</c:v>
                </c:pt>
                <c:pt idx="20">
                  <c:v>Sekolah Stella Mundi</c:v>
                </c:pt>
                <c:pt idx="21">
                  <c:v>Gandhi Memorial Intercontinental School (GMIS Bali)</c:v>
                </c:pt>
                <c:pt idx="22">
                  <c:v>Trihita Alam Eco School</c:v>
                </c:pt>
                <c:pt idx="23">
                  <c:v>Sanur Independent School</c:v>
                </c:pt>
                <c:pt idx="24">
                  <c:v>Bali Island School (BIS)</c:v>
                </c:pt>
                <c:pt idx="25">
                  <c:v>Asian Intercultural School Bali</c:v>
                </c:pt>
                <c:pt idx="26">
                  <c:v>Dyatmika School</c:v>
                </c:pt>
                <c:pt idx="27">
                  <c:v>Pelangi School</c:v>
                </c:pt>
                <c:pt idx="28">
                  <c:v>Future Human School Bali</c:v>
                </c:pt>
                <c:pt idx="29">
                  <c:v>Uluwatu School</c:v>
                </c:pt>
                <c:pt idx="30">
                  <c:v>Spark Bali</c:v>
                </c:pt>
                <c:pt idx="31">
                  <c:v>Bali Earth School</c:v>
                </c:pt>
                <c:pt idx="32">
                  <c:v>The British School of Bali (BSB)</c:v>
                </c:pt>
                <c:pt idx="33">
                  <c:v>Sekolah Montessori ERDKINDER Bali</c:v>
                </c:pt>
                <c:pt idx="34">
                  <c:v>Empathy School International (Nature School)</c:v>
                </c:pt>
                <c:pt idx="35">
                  <c:v>Singaraja Montessori School</c:v>
                </c:pt>
                <c:pt idx="36">
                  <c:v>North Bali Bilingual School</c:v>
                </c:pt>
                <c:pt idx="37">
                  <c:v>Amed Honeycomb School</c:v>
                </c:pt>
              </c:strCache>
            </c:strRef>
          </c:cat>
          <c:val>
            <c:numRef>
              <c:f>'Distance from Canggu'!$D$5:$D$42</c:f>
              <c:numCache>
                <c:formatCode>General</c:formatCode>
                <c:ptCount val="38"/>
                <c:pt idx="0">
                  <c:v>2</c:v>
                </c:pt>
                <c:pt idx="1">
                  <c:v>7</c:v>
                </c:pt>
                <c:pt idx="2">
                  <c:v>8</c:v>
                </c:pt>
                <c:pt idx="3">
                  <c:v>12</c:v>
                </c:pt>
                <c:pt idx="4">
                  <c:v>14</c:v>
                </c:pt>
                <c:pt idx="5">
                  <c:v>14</c:v>
                </c:pt>
                <c:pt idx="6">
                  <c:v>18</c:v>
                </c:pt>
                <c:pt idx="7">
                  <c:v>20</c:v>
                </c:pt>
                <c:pt idx="8">
                  <c:v>20</c:v>
                </c:pt>
                <c:pt idx="9">
                  <c:v>20</c:v>
                </c:pt>
                <c:pt idx="10">
                  <c:v>20</c:v>
                </c:pt>
                <c:pt idx="11">
                  <c:v>21</c:v>
                </c:pt>
                <c:pt idx="12">
                  <c:v>26</c:v>
                </c:pt>
                <c:pt idx="13">
                  <c:v>28</c:v>
                </c:pt>
                <c:pt idx="14">
                  <c:v>29</c:v>
                </c:pt>
                <c:pt idx="15">
                  <c:v>33</c:v>
                </c:pt>
                <c:pt idx="16">
                  <c:v>43</c:v>
                </c:pt>
                <c:pt idx="17">
                  <c:v>44</c:v>
                </c:pt>
                <c:pt idx="18">
                  <c:v>48</c:v>
                </c:pt>
                <c:pt idx="19">
                  <c:v>48</c:v>
                </c:pt>
                <c:pt idx="20">
                  <c:v>48</c:v>
                </c:pt>
                <c:pt idx="21">
                  <c:v>49</c:v>
                </c:pt>
                <c:pt idx="22">
                  <c:v>51</c:v>
                </c:pt>
                <c:pt idx="23">
                  <c:v>53</c:v>
                </c:pt>
                <c:pt idx="24">
                  <c:v>55</c:v>
                </c:pt>
                <c:pt idx="25">
                  <c:v>55</c:v>
                </c:pt>
                <c:pt idx="26">
                  <c:v>58</c:v>
                </c:pt>
                <c:pt idx="27">
                  <c:v>66</c:v>
                </c:pt>
                <c:pt idx="28">
                  <c:v>67</c:v>
                </c:pt>
                <c:pt idx="29">
                  <c:v>68</c:v>
                </c:pt>
                <c:pt idx="30">
                  <c:v>69</c:v>
                </c:pt>
                <c:pt idx="31">
                  <c:v>76</c:v>
                </c:pt>
                <c:pt idx="32">
                  <c:v>81</c:v>
                </c:pt>
                <c:pt idx="33">
                  <c:v>82</c:v>
                </c:pt>
                <c:pt idx="34">
                  <c:v>86</c:v>
                </c:pt>
                <c:pt idx="35">
                  <c:v>144</c:v>
                </c:pt>
                <c:pt idx="36">
                  <c:v>146</c:v>
                </c:pt>
                <c:pt idx="37">
                  <c:v>166</c:v>
                </c:pt>
              </c:numCache>
            </c:numRef>
          </c:val>
          <c:extLst>
            <c:ext xmlns:c16="http://schemas.microsoft.com/office/drawing/2014/chart" uri="{C3380CC4-5D6E-409C-BE32-E72D297353CC}">
              <c16:uniqueId val="{00000000-A379-48AB-A8EB-78894404B477}"/>
            </c:ext>
          </c:extLst>
        </c:ser>
        <c:dLbls>
          <c:showLegendKey val="0"/>
          <c:showVal val="0"/>
          <c:showCatName val="0"/>
          <c:showSerName val="0"/>
          <c:showPercent val="0"/>
          <c:showBubbleSize val="0"/>
        </c:dLbls>
        <c:gapWidth val="150"/>
        <c:axId val="9570441"/>
        <c:axId val="88311297"/>
      </c:barChart>
      <c:catAx>
        <c:axId val="957044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311297"/>
        <c:crosses val="autoZero"/>
        <c:auto val="1"/>
        <c:lblAlgn val="ctr"/>
        <c:lblOffset val="100"/>
        <c:noMultiLvlLbl val="0"/>
      </c:catAx>
      <c:valAx>
        <c:axId val="88311297"/>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704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19</xdr:col>
      <xdr:colOff>186840</xdr:colOff>
      <xdr:row>25</xdr:row>
      <xdr:rowOff>128880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17</xdr:col>
      <xdr:colOff>581400</xdr:colOff>
      <xdr:row>59</xdr:row>
      <xdr:rowOff>131760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llLandscape" displayName="FullLandscape" ref="A1:R39" totalsRowShown="0">
  <autoFilter ref="A1:R39" xr:uid="{00000000-0009-0000-0100-000001000000}"/>
  <tableColumns count="18">
    <tableColumn id="1" xr3:uid="{00000000-0010-0000-0000-000001000000}" name="School"/>
    <tableColumn id="2" xr3:uid="{00000000-0010-0000-0000-000002000000}" name="Tier"/>
    <tableColumn id="3" xr3:uid="{00000000-0010-0000-0000-000003000000}" name="Area / Sub-region"/>
    <tableColumn id="4" xr3:uid="{00000000-0010-0000-0000-000004000000}" name="Full Address"/>
    <tableColumn id="5" xr3:uid="{00000000-0010-0000-0000-000005000000}" name="Curriculum"/>
    <tableColumn id="6" xr3:uid="{00000000-0010-0000-0000-000006000000}" name="Language(s) of Instruction"/>
    <tableColumn id="7" xr3:uid="{00000000-0010-0000-0000-000007000000}" name="Grade / Age Range"/>
    <tableColumn id="8" xr3:uid="{00000000-0010-0000-0000-000008000000}" name="Current Enrollment"/>
    <tableColumn id="9" xr3:uid="{00000000-0010-0000-0000-000009000000}" name="Fee – Low (IDR/yr)"/>
    <tableColumn id="10" xr3:uid="{00000000-0010-0000-0000-00000A000000}" name="Fee – High (IDR/yr)"/>
    <tableColumn id="11" xr3:uid="{00000000-0010-0000-0000-00000B000000}" name="Fee Academic Year / Notes"/>
    <tableColumn id="12" xr3:uid="{00000000-0010-0000-0000-00000C000000}" name="Fee – Low (USD/yr, approx.)"/>
    <tableColumn id="13" xr3:uid="{00000000-0010-0000-0000-00000D000000}" name="Fee – High (USD/yr, approx.)"/>
    <tableColumn id="14" xr3:uid="{00000000-0010-0000-0000-00000E000000}" name="Straight-line km from Canggu"/>
    <tableColumn id="15" xr3:uid="{00000000-0010-0000-0000-00000F000000}" name="Est. Road km from Canggu"/>
    <tableColumn id="16" xr3:uid="{00000000-0010-0000-0000-000010000000}" name="Est. Drive Time from Canggu (min)"/>
    <tableColumn id="18" xr3:uid="{00000000-0010-0000-0000-000012000000}" name="Notes / Positioning"/>
    <tableColumn id="19" xr3:uid="{00000000-0010-0000-0000-000013000000}" name="Sourc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ier1DirectCompetitors" displayName="Tier1DirectCompetitors" ref="A1:J8" totalsRowShown="0">
  <autoFilter ref="A1:J8" xr:uid="{00000000-0009-0000-0100-000002000000}"/>
  <tableColumns count="10">
    <tableColumn id="1" xr3:uid="{00000000-0010-0000-0100-000001000000}" name="School"/>
    <tableColumn id="2" xr3:uid="{00000000-0010-0000-0100-000002000000}" name="Area"/>
    <tableColumn id="3" xr3:uid="{00000000-0010-0000-0100-000003000000}" name="Curriculum"/>
    <tableColumn id="4" xr3:uid="{00000000-0010-0000-0100-000004000000}" name="Grade Range"/>
    <tableColumn id="5" xr3:uid="{00000000-0010-0000-0100-000005000000}" name="Current Enrollment"/>
    <tableColumn id="6" xr3:uid="{00000000-0010-0000-0100-000006000000}" name="Fee Range (IDR/yr)"/>
    <tableColumn id="7" xr3:uid="{00000000-0010-0000-0100-000007000000}" name="Fee Range (USD/yr, approx.)"/>
    <tableColumn id="8" xr3:uid="{00000000-0010-0000-0100-000008000000}" name="Drive Time from Canggu"/>
    <tableColumn id="9" xr3:uid="{00000000-0010-0000-0100-000009000000}" name="Why it competes with GSB"/>
    <tableColumn id="10" xr3:uid="{00000000-0010-0000-0100-00000A000000}" name="Key watch-ou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6"/>
  <sheetViews>
    <sheetView showGridLines="0" zoomScaleNormal="100" workbookViewId="0">
      <selection activeCell="C11" sqref="C11:F11"/>
    </sheetView>
  </sheetViews>
  <sheetFormatPr defaultColWidth="8.7109375" defaultRowHeight="15" x14ac:dyDescent="0.25"/>
  <cols>
    <col min="1" max="1" width="3" customWidth="1"/>
    <col min="2" max="6" width="32" customWidth="1"/>
    <col min="7" max="7" width="3" customWidth="1"/>
  </cols>
  <sheetData>
    <row r="2" spans="2:6" ht="20.25" x14ac:dyDescent="0.3">
      <c r="B2" s="4" t="s">
        <v>0</v>
      </c>
    </row>
    <row r="3" spans="2:6" x14ac:dyDescent="0.25">
      <c r="B3" s="5" t="s">
        <v>1</v>
      </c>
    </row>
    <row r="4" spans="2:6" x14ac:dyDescent="0.25">
      <c r="B4" s="5" t="s">
        <v>2</v>
      </c>
    </row>
    <row r="6" spans="2:6" ht="15.75" x14ac:dyDescent="0.25">
      <c r="B6" s="6" t="s">
        <v>3</v>
      </c>
    </row>
    <row r="7" spans="2:6" ht="15" customHeight="1" x14ac:dyDescent="0.25">
      <c r="B7" s="3" t="s">
        <v>4</v>
      </c>
      <c r="C7" s="3"/>
      <c r="D7" s="3"/>
      <c r="E7" s="3"/>
      <c r="F7" s="3"/>
    </row>
    <row r="8" spans="2:6" x14ac:dyDescent="0.25">
      <c r="B8" s="3"/>
      <c r="C8" s="3"/>
      <c r="D8" s="3"/>
      <c r="E8" s="3"/>
      <c r="F8" s="3"/>
    </row>
    <row r="10" spans="2:6" ht="15.75" x14ac:dyDescent="0.25">
      <c r="B10" s="6" t="s">
        <v>5</v>
      </c>
    </row>
    <row r="11" spans="2:6" ht="15" customHeight="1" x14ac:dyDescent="0.25">
      <c r="B11" s="7" t="s">
        <v>6</v>
      </c>
      <c r="C11" s="3" t="s">
        <v>7</v>
      </c>
      <c r="D11" s="3"/>
      <c r="E11" s="3"/>
      <c r="F11" s="3"/>
    </row>
    <row r="12" spans="2:6" ht="15" customHeight="1" x14ac:dyDescent="0.25">
      <c r="B12" s="7" t="s">
        <v>8</v>
      </c>
      <c r="C12" s="3" t="s">
        <v>9</v>
      </c>
      <c r="D12" s="3"/>
      <c r="E12" s="3"/>
      <c r="F12" s="3"/>
    </row>
    <row r="13" spans="2:6" ht="15" customHeight="1" x14ac:dyDescent="0.25">
      <c r="B13" s="7" t="s">
        <v>10</v>
      </c>
      <c r="C13" s="3" t="s">
        <v>11</v>
      </c>
      <c r="D13" s="3"/>
      <c r="E13" s="3"/>
      <c r="F13" s="3"/>
    </row>
    <row r="14" spans="2:6" ht="15" customHeight="1" x14ac:dyDescent="0.25">
      <c r="B14" s="7" t="s">
        <v>12</v>
      </c>
      <c r="C14" s="3" t="s">
        <v>13</v>
      </c>
      <c r="D14" s="3"/>
      <c r="E14" s="3"/>
      <c r="F14" s="3"/>
    </row>
    <row r="16" spans="2:6" ht="15.75" x14ac:dyDescent="0.25">
      <c r="B16" s="6" t="s">
        <v>14</v>
      </c>
    </row>
    <row r="17" spans="2:6" ht="31.5" customHeight="1" x14ac:dyDescent="0.25">
      <c r="B17" s="8" t="s">
        <v>15</v>
      </c>
      <c r="C17" s="3" t="s">
        <v>16</v>
      </c>
      <c r="D17" s="3"/>
      <c r="E17" s="3"/>
      <c r="F17" s="3"/>
    </row>
    <row r="18" spans="2:6" ht="31.5" customHeight="1" x14ac:dyDescent="0.25">
      <c r="B18" s="9" t="s">
        <v>17</v>
      </c>
      <c r="C18" s="3" t="s">
        <v>18</v>
      </c>
      <c r="D18" s="3"/>
      <c r="E18" s="3"/>
      <c r="F18" s="3"/>
    </row>
    <row r="19" spans="2:6" ht="31.5" customHeight="1" x14ac:dyDescent="0.25">
      <c r="B19" s="10" t="s">
        <v>19</v>
      </c>
      <c r="C19" s="3" t="s">
        <v>20</v>
      </c>
      <c r="D19" s="3"/>
      <c r="E19" s="3"/>
      <c r="F19" s="3"/>
    </row>
    <row r="21" spans="2:6" ht="15.75" x14ac:dyDescent="0.25">
      <c r="B21" s="6" t="s">
        <v>21</v>
      </c>
    </row>
    <row r="22" spans="2:6" ht="60" customHeight="1" x14ac:dyDescent="0.25">
      <c r="B22" s="3" t="s">
        <v>22</v>
      </c>
      <c r="C22" s="3"/>
      <c r="D22" s="3"/>
      <c r="E22" s="3"/>
      <c r="F22" s="3"/>
    </row>
    <row r="23" spans="2:6" ht="60" customHeight="1" x14ac:dyDescent="0.25">
      <c r="B23" s="3" t="s">
        <v>23</v>
      </c>
      <c r="C23" s="3"/>
      <c r="D23" s="3"/>
      <c r="E23" s="3"/>
      <c r="F23" s="3"/>
    </row>
    <row r="24" spans="2:6" ht="60" customHeight="1" x14ac:dyDescent="0.25">
      <c r="B24" s="3" t="s">
        <v>24</v>
      </c>
      <c r="C24" s="3"/>
      <c r="D24" s="3"/>
      <c r="E24" s="3"/>
      <c r="F24" s="3"/>
    </row>
    <row r="25" spans="2:6" ht="60" customHeight="1" x14ac:dyDescent="0.25">
      <c r="B25" s="3" t="s">
        <v>25</v>
      </c>
      <c r="C25" s="3"/>
      <c r="D25" s="3"/>
      <c r="E25" s="3"/>
      <c r="F25" s="3"/>
    </row>
    <row r="26" spans="2:6" ht="60" customHeight="1" x14ac:dyDescent="0.25">
      <c r="B26" s="3" t="s">
        <v>26</v>
      </c>
      <c r="C26" s="3"/>
      <c r="D26" s="3"/>
      <c r="E26" s="3"/>
      <c r="F26" s="3"/>
    </row>
  </sheetData>
  <mergeCells count="13">
    <mergeCell ref="B24:F24"/>
    <mergeCell ref="B25:F25"/>
    <mergeCell ref="B26:F26"/>
    <mergeCell ref="C17:F17"/>
    <mergeCell ref="C18:F18"/>
    <mergeCell ref="C19:F19"/>
    <mergeCell ref="B22:F22"/>
    <mergeCell ref="B23:F23"/>
    <mergeCell ref="B7:F8"/>
    <mergeCell ref="C11:F11"/>
    <mergeCell ref="C12:F12"/>
    <mergeCell ref="C13:F13"/>
    <mergeCell ref="C14:F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9"/>
  <sheetViews>
    <sheetView showGridLines="0" tabSelected="1" zoomScaleNormal="100" workbookViewId="0">
      <pane xSplit="2" ySplit="1" topLeftCell="F9" activePane="bottomRight" state="frozen"/>
      <selection pane="topRight" activeCell="C1" sqref="C1"/>
      <selection pane="bottomLeft" activeCell="A2" sqref="A2"/>
      <selection pane="bottomRight" activeCell="Q15" sqref="Q15"/>
    </sheetView>
  </sheetViews>
  <sheetFormatPr defaultColWidth="8.7109375" defaultRowHeight="15" x14ac:dyDescent="0.25"/>
  <cols>
    <col min="1" max="1" width="30" customWidth="1"/>
    <col min="2" max="2" width="16" customWidth="1"/>
    <col min="3" max="3" width="24" customWidth="1"/>
    <col min="4" max="4" width="40" customWidth="1"/>
    <col min="5" max="5" width="42" customWidth="1"/>
    <col min="6" max="6" width="20" customWidth="1"/>
    <col min="7" max="7" width="26" customWidth="1"/>
    <col min="8" max="8" width="34" customWidth="1"/>
    <col min="9" max="10" width="16" customWidth="1"/>
    <col min="11" max="11" width="34" customWidth="1"/>
    <col min="12" max="13" width="14" customWidth="1"/>
    <col min="14" max="15" width="12" customWidth="1"/>
    <col min="16" max="16" width="14" customWidth="1"/>
    <col min="17" max="17" width="22" customWidth="1"/>
    <col min="18" max="18" width="46" customWidth="1"/>
    <col min="19" max="19" width="30" customWidth="1"/>
  </cols>
  <sheetData>
    <row r="1" spans="1:18" ht="43.5" customHeight="1" x14ac:dyDescent="0.25">
      <c r="A1" s="11" t="s">
        <v>27</v>
      </c>
      <c r="B1" s="11" t="s">
        <v>28</v>
      </c>
      <c r="C1" s="11" t="s">
        <v>29</v>
      </c>
      <c r="D1" s="11" t="s">
        <v>30</v>
      </c>
      <c r="E1" s="11" t="s">
        <v>31</v>
      </c>
      <c r="F1" s="11" t="s">
        <v>32</v>
      </c>
      <c r="G1" s="11" t="s">
        <v>33</v>
      </c>
      <c r="H1" s="11" t="s">
        <v>34</v>
      </c>
      <c r="I1" s="11" t="s">
        <v>35</v>
      </c>
      <c r="J1" s="11" t="s">
        <v>36</v>
      </c>
      <c r="K1" s="11" t="s">
        <v>37</v>
      </c>
      <c r="L1" s="11" t="s">
        <v>38</v>
      </c>
      <c r="M1" s="11" t="s">
        <v>39</v>
      </c>
      <c r="N1" s="11" t="s">
        <v>40</v>
      </c>
      <c r="O1" s="11" t="s">
        <v>41</v>
      </c>
      <c r="P1" s="11" t="s">
        <v>42</v>
      </c>
      <c r="Q1" s="11" t="s">
        <v>43</v>
      </c>
      <c r="R1" s="11" t="s">
        <v>44</v>
      </c>
    </row>
    <row r="2" spans="1:18" ht="60" customHeight="1" x14ac:dyDescent="0.25">
      <c r="A2" s="12" t="s">
        <v>45</v>
      </c>
      <c r="B2" s="13" t="s">
        <v>46</v>
      </c>
      <c r="C2" s="13" t="s">
        <v>47</v>
      </c>
      <c r="D2" s="13" t="s">
        <v>48</v>
      </c>
      <c r="E2" s="13" t="s">
        <v>49</v>
      </c>
      <c r="F2" s="13" t="s">
        <v>50</v>
      </c>
      <c r="G2" s="13" t="s">
        <v>51</v>
      </c>
      <c r="H2" s="13" t="s">
        <v>52</v>
      </c>
      <c r="I2" s="14">
        <v>177800000</v>
      </c>
      <c r="J2" s="14">
        <v>319030000</v>
      </c>
      <c r="K2" s="13" t="s">
        <v>53</v>
      </c>
      <c r="L2" s="15">
        <v>9989</v>
      </c>
      <c r="M2" s="15">
        <v>17923</v>
      </c>
      <c r="N2" s="16">
        <v>13.2</v>
      </c>
      <c r="O2" s="16">
        <v>17.8</v>
      </c>
      <c r="P2" s="17">
        <v>44</v>
      </c>
      <c r="Q2" s="13" t="s">
        <v>54</v>
      </c>
      <c r="R2" s="13" t="s">
        <v>55</v>
      </c>
    </row>
    <row r="3" spans="1:18" ht="60" customHeight="1" x14ac:dyDescent="0.25">
      <c r="A3" s="18" t="s">
        <v>56</v>
      </c>
      <c r="B3" s="19" t="s">
        <v>15</v>
      </c>
      <c r="C3" s="19" t="s">
        <v>57</v>
      </c>
      <c r="D3" s="19" t="s">
        <v>58</v>
      </c>
      <c r="E3" s="19" t="s">
        <v>59</v>
      </c>
      <c r="F3" s="19" t="s">
        <v>60</v>
      </c>
      <c r="G3" s="19" t="s">
        <v>61</v>
      </c>
      <c r="H3" s="19" t="s">
        <v>62</v>
      </c>
      <c r="I3" s="20">
        <v>72252000</v>
      </c>
      <c r="J3" s="20">
        <v>302388000</v>
      </c>
      <c r="K3" s="19" t="s">
        <v>53</v>
      </c>
      <c r="L3" s="21">
        <v>4059</v>
      </c>
      <c r="M3" s="21">
        <v>16988</v>
      </c>
      <c r="N3" s="22">
        <v>13.7</v>
      </c>
      <c r="O3" s="22">
        <v>18.399999999999999</v>
      </c>
      <c r="P3" s="23">
        <v>55</v>
      </c>
      <c r="Q3" s="19" t="s">
        <v>63</v>
      </c>
      <c r="R3" s="19" t="s">
        <v>64</v>
      </c>
    </row>
    <row r="4" spans="1:18" ht="60" customHeight="1" x14ac:dyDescent="0.25">
      <c r="A4" s="18" t="s">
        <v>65</v>
      </c>
      <c r="B4" s="19" t="s">
        <v>15</v>
      </c>
      <c r="C4" s="19" t="s">
        <v>66</v>
      </c>
      <c r="D4" s="19" t="s">
        <v>67</v>
      </c>
      <c r="E4" s="19" t="s">
        <v>68</v>
      </c>
      <c r="F4" s="19" t="s">
        <v>69</v>
      </c>
      <c r="G4" s="19" t="s">
        <v>70</v>
      </c>
      <c r="H4" s="19" t="s">
        <v>71</v>
      </c>
      <c r="I4" s="20">
        <v>139000000</v>
      </c>
      <c r="J4" s="20">
        <v>295500000</v>
      </c>
      <c r="K4" s="19" t="s">
        <v>53</v>
      </c>
      <c r="L4" s="21">
        <v>7809</v>
      </c>
      <c r="M4" s="21">
        <v>16601</v>
      </c>
      <c r="N4" s="22">
        <v>1.6</v>
      </c>
      <c r="O4" s="22">
        <v>2.2000000000000002</v>
      </c>
      <c r="P4" s="23">
        <v>7</v>
      </c>
      <c r="Q4" s="19" t="s">
        <v>72</v>
      </c>
      <c r="R4" s="19" t="s">
        <v>73</v>
      </c>
    </row>
    <row r="5" spans="1:18" ht="60" customHeight="1" x14ac:dyDescent="0.25">
      <c r="A5" s="18" t="s">
        <v>74</v>
      </c>
      <c r="B5" s="19" t="s">
        <v>15</v>
      </c>
      <c r="C5" s="19" t="s">
        <v>75</v>
      </c>
      <c r="D5" s="19" t="s">
        <v>76</v>
      </c>
      <c r="E5" s="19" t="s">
        <v>77</v>
      </c>
      <c r="F5" s="19" t="s">
        <v>78</v>
      </c>
      <c r="G5" s="19" t="s">
        <v>79</v>
      </c>
      <c r="H5" s="19" t="s">
        <v>80</v>
      </c>
      <c r="I5" s="20">
        <v>47620000</v>
      </c>
      <c r="J5" s="20">
        <v>147293000</v>
      </c>
      <c r="K5" s="19" t="s">
        <v>53</v>
      </c>
      <c r="L5" s="21">
        <v>2675</v>
      </c>
      <c r="M5" s="21">
        <v>8275</v>
      </c>
      <c r="N5" s="22">
        <v>14.4</v>
      </c>
      <c r="O5" s="22">
        <v>19.399999999999999</v>
      </c>
      <c r="P5" s="23">
        <v>58</v>
      </c>
      <c r="Q5" s="19" t="s">
        <v>82</v>
      </c>
      <c r="R5" s="19" t="s">
        <v>83</v>
      </c>
    </row>
    <row r="6" spans="1:18" ht="60" customHeight="1" x14ac:dyDescent="0.25">
      <c r="A6" s="18" t="s">
        <v>84</v>
      </c>
      <c r="B6" s="19" t="s">
        <v>15</v>
      </c>
      <c r="C6" s="19" t="s">
        <v>85</v>
      </c>
      <c r="D6" s="19" t="s">
        <v>86</v>
      </c>
      <c r="E6" s="19" t="s">
        <v>87</v>
      </c>
      <c r="F6" s="19" t="s">
        <v>88</v>
      </c>
      <c r="G6" s="19" t="s">
        <v>89</v>
      </c>
      <c r="H6" s="19" t="s">
        <v>90</v>
      </c>
      <c r="I6" s="20">
        <v>76000000</v>
      </c>
      <c r="J6" s="20">
        <v>177000000</v>
      </c>
      <c r="K6" s="19" t="s">
        <v>91</v>
      </c>
      <c r="L6" s="21">
        <v>4270</v>
      </c>
      <c r="M6" s="21">
        <v>9944</v>
      </c>
      <c r="N6" s="22">
        <v>12.2</v>
      </c>
      <c r="O6" s="22">
        <v>16.5</v>
      </c>
      <c r="P6" s="23">
        <v>49</v>
      </c>
      <c r="Q6" s="19" t="s">
        <v>92</v>
      </c>
      <c r="R6" s="19" t="s">
        <v>93</v>
      </c>
    </row>
    <row r="7" spans="1:18" ht="60" customHeight="1" x14ac:dyDescent="0.25">
      <c r="A7" s="18" t="s">
        <v>94</v>
      </c>
      <c r="B7" s="19" t="s">
        <v>15</v>
      </c>
      <c r="C7" s="19" t="s">
        <v>95</v>
      </c>
      <c r="D7" s="19" t="s">
        <v>96</v>
      </c>
      <c r="E7" s="19" t="s">
        <v>97</v>
      </c>
      <c r="F7" s="19" t="s">
        <v>60</v>
      </c>
      <c r="G7" s="19" t="s">
        <v>98</v>
      </c>
      <c r="H7" s="19" t="s">
        <v>99</v>
      </c>
      <c r="I7" s="20">
        <v>82330000</v>
      </c>
      <c r="J7" s="20">
        <v>253520000</v>
      </c>
      <c r="K7" s="19" t="s">
        <v>53</v>
      </c>
      <c r="L7" s="21">
        <v>4625</v>
      </c>
      <c r="M7" s="21">
        <v>14243</v>
      </c>
      <c r="N7" s="22">
        <v>7.1</v>
      </c>
      <c r="O7" s="22">
        <v>9.6</v>
      </c>
      <c r="P7" s="23">
        <v>29</v>
      </c>
      <c r="Q7" s="19" t="s">
        <v>100</v>
      </c>
      <c r="R7" s="19" t="s">
        <v>101</v>
      </c>
    </row>
    <row r="8" spans="1:18" ht="60" customHeight="1" x14ac:dyDescent="0.25">
      <c r="A8" s="18" t="s">
        <v>102</v>
      </c>
      <c r="B8" s="19" t="s">
        <v>103</v>
      </c>
      <c r="C8" s="19" t="s">
        <v>104</v>
      </c>
      <c r="D8" s="19" t="s">
        <v>105</v>
      </c>
      <c r="E8" s="19" t="s">
        <v>106</v>
      </c>
      <c r="F8" s="19" t="s">
        <v>60</v>
      </c>
      <c r="G8" s="19" t="s">
        <v>107</v>
      </c>
      <c r="H8" s="19" t="s">
        <v>108</v>
      </c>
      <c r="I8" s="20">
        <v>230000000</v>
      </c>
      <c r="J8" s="20">
        <v>280000000</v>
      </c>
      <c r="K8" s="19" t="s">
        <v>109</v>
      </c>
      <c r="L8" s="21">
        <v>12921</v>
      </c>
      <c r="M8" s="21">
        <v>15730</v>
      </c>
      <c r="N8" s="22">
        <v>14.2</v>
      </c>
      <c r="O8" s="22">
        <v>19.2</v>
      </c>
      <c r="P8" s="23">
        <v>48</v>
      </c>
      <c r="Q8" s="19" t="s">
        <v>110</v>
      </c>
      <c r="R8" s="19" t="s">
        <v>111</v>
      </c>
    </row>
    <row r="9" spans="1:18" ht="60" customHeight="1" x14ac:dyDescent="0.25">
      <c r="A9" s="18" t="s">
        <v>112</v>
      </c>
      <c r="B9" s="19" t="s">
        <v>15</v>
      </c>
      <c r="C9" s="19" t="s">
        <v>113</v>
      </c>
      <c r="D9" s="19" t="s">
        <v>114</v>
      </c>
      <c r="E9" s="19" t="s">
        <v>115</v>
      </c>
      <c r="F9" s="19" t="s">
        <v>116</v>
      </c>
      <c r="G9" s="19" t="s">
        <v>117</v>
      </c>
      <c r="H9" s="19" t="s">
        <v>99</v>
      </c>
      <c r="I9" s="19" t="s">
        <v>118</v>
      </c>
      <c r="J9" s="19" t="s">
        <v>118</v>
      </c>
      <c r="K9" s="19" t="s">
        <v>119</v>
      </c>
      <c r="L9" s="19" t="s">
        <v>81</v>
      </c>
      <c r="M9" s="19" t="s">
        <v>81</v>
      </c>
      <c r="N9" s="22">
        <v>8</v>
      </c>
      <c r="O9" s="22">
        <v>10.9</v>
      </c>
      <c r="P9" s="23">
        <v>33</v>
      </c>
      <c r="Q9" s="19" t="s">
        <v>120</v>
      </c>
      <c r="R9" s="19" t="s">
        <v>121</v>
      </c>
    </row>
    <row r="10" spans="1:18" ht="60" customHeight="1" x14ac:dyDescent="0.25">
      <c r="A10" s="24" t="s">
        <v>122</v>
      </c>
      <c r="B10" s="25" t="s">
        <v>17</v>
      </c>
      <c r="C10" s="25" t="s">
        <v>123</v>
      </c>
      <c r="D10" s="25" t="s">
        <v>124</v>
      </c>
      <c r="E10" s="25" t="s">
        <v>125</v>
      </c>
      <c r="F10" s="25" t="s">
        <v>126</v>
      </c>
      <c r="G10" s="25" t="s">
        <v>127</v>
      </c>
      <c r="H10" s="25" t="s">
        <v>99</v>
      </c>
      <c r="I10" s="25" t="s">
        <v>118</v>
      </c>
      <c r="J10" s="25" t="s">
        <v>118</v>
      </c>
      <c r="K10" s="25" t="s">
        <v>128</v>
      </c>
      <c r="L10" s="25" t="s">
        <v>81</v>
      </c>
      <c r="M10" s="25" t="s">
        <v>81</v>
      </c>
      <c r="N10" s="26">
        <v>10.5</v>
      </c>
      <c r="O10" s="26">
        <v>14.2</v>
      </c>
      <c r="P10" s="27">
        <v>43</v>
      </c>
      <c r="Q10" s="25" t="s">
        <v>129</v>
      </c>
      <c r="R10" s="25" t="s">
        <v>130</v>
      </c>
    </row>
    <row r="11" spans="1:18" ht="60" customHeight="1" x14ac:dyDescent="0.25">
      <c r="A11" s="24" t="s">
        <v>131</v>
      </c>
      <c r="B11" s="25" t="s">
        <v>17</v>
      </c>
      <c r="C11" s="25" t="s">
        <v>132</v>
      </c>
      <c r="D11" s="25" t="s">
        <v>133</v>
      </c>
      <c r="E11" s="25" t="s">
        <v>134</v>
      </c>
      <c r="F11" s="25" t="s">
        <v>60</v>
      </c>
      <c r="G11" s="25" t="s">
        <v>135</v>
      </c>
      <c r="H11" s="25" t="s">
        <v>99</v>
      </c>
      <c r="I11" s="28">
        <v>22300000</v>
      </c>
      <c r="J11" s="28">
        <v>78200000</v>
      </c>
      <c r="K11" s="25" t="s">
        <v>53</v>
      </c>
      <c r="L11" s="29">
        <v>1253</v>
      </c>
      <c r="M11" s="29">
        <v>4393</v>
      </c>
      <c r="N11" s="26">
        <v>13.1</v>
      </c>
      <c r="O11" s="26">
        <v>17.600000000000001</v>
      </c>
      <c r="P11" s="27">
        <v>53</v>
      </c>
      <c r="Q11" s="25" t="s">
        <v>136</v>
      </c>
      <c r="R11" s="25" t="s">
        <v>137</v>
      </c>
    </row>
    <row r="12" spans="1:18" ht="60" customHeight="1" x14ac:dyDescent="0.25">
      <c r="A12" s="24" t="s">
        <v>138</v>
      </c>
      <c r="B12" s="25" t="s">
        <v>139</v>
      </c>
      <c r="C12" s="25" t="s">
        <v>140</v>
      </c>
      <c r="D12" s="25" t="s">
        <v>141</v>
      </c>
      <c r="E12" s="25" t="s">
        <v>142</v>
      </c>
      <c r="F12" s="25" t="s">
        <v>60</v>
      </c>
      <c r="G12" s="25" t="s">
        <v>143</v>
      </c>
      <c r="H12" s="25" t="s">
        <v>144</v>
      </c>
      <c r="I12" s="28">
        <v>230000000</v>
      </c>
      <c r="J12" s="28">
        <v>240000000</v>
      </c>
      <c r="K12" s="25" t="s">
        <v>91</v>
      </c>
      <c r="L12" s="29">
        <v>12921</v>
      </c>
      <c r="M12" s="29">
        <v>13483</v>
      </c>
      <c r="N12" s="26">
        <v>24.1</v>
      </c>
      <c r="O12" s="26">
        <v>32.6</v>
      </c>
      <c r="P12" s="27">
        <v>81</v>
      </c>
      <c r="Q12" s="25" t="s">
        <v>145</v>
      </c>
      <c r="R12" s="25" t="s">
        <v>146</v>
      </c>
    </row>
    <row r="13" spans="1:18" ht="60" customHeight="1" x14ac:dyDescent="0.25">
      <c r="A13" s="24" t="s">
        <v>147</v>
      </c>
      <c r="B13" s="25" t="s">
        <v>17</v>
      </c>
      <c r="C13" s="25" t="s">
        <v>148</v>
      </c>
      <c r="D13" s="25" t="s">
        <v>149</v>
      </c>
      <c r="E13" s="25" t="s">
        <v>150</v>
      </c>
      <c r="F13" s="25" t="s">
        <v>60</v>
      </c>
      <c r="G13" s="25" t="s">
        <v>151</v>
      </c>
      <c r="H13" s="25" t="s">
        <v>99</v>
      </c>
      <c r="I13" s="28">
        <v>88000000</v>
      </c>
      <c r="J13" s="28">
        <v>210000000</v>
      </c>
      <c r="K13" s="25" t="s">
        <v>53</v>
      </c>
      <c r="L13" s="29">
        <v>4944</v>
      </c>
      <c r="M13" s="29">
        <v>11798</v>
      </c>
      <c r="N13" s="26">
        <v>1.7</v>
      </c>
      <c r="O13" s="26">
        <v>2.2999999999999998</v>
      </c>
      <c r="P13" s="27">
        <v>8</v>
      </c>
      <c r="Q13" s="25" t="s">
        <v>152</v>
      </c>
      <c r="R13" s="25" t="s">
        <v>153</v>
      </c>
    </row>
    <row r="14" spans="1:18" ht="60" customHeight="1" x14ac:dyDescent="0.25">
      <c r="A14" s="24" t="s">
        <v>154</v>
      </c>
      <c r="B14" s="25" t="s">
        <v>155</v>
      </c>
      <c r="C14" s="25" t="s">
        <v>156</v>
      </c>
      <c r="D14" s="25" t="s">
        <v>157</v>
      </c>
      <c r="E14" s="25" t="s">
        <v>158</v>
      </c>
      <c r="F14" s="25" t="s">
        <v>159</v>
      </c>
      <c r="G14" s="25" t="s">
        <v>160</v>
      </c>
      <c r="H14" s="25" t="s">
        <v>99</v>
      </c>
      <c r="I14" s="28">
        <v>58900000</v>
      </c>
      <c r="J14" s="28">
        <v>156900000</v>
      </c>
      <c r="K14" s="25" t="s">
        <v>91</v>
      </c>
      <c r="L14" s="29">
        <v>3309</v>
      </c>
      <c r="M14" s="29">
        <v>8815</v>
      </c>
      <c r="N14" s="26">
        <v>2.7</v>
      </c>
      <c r="O14" s="26">
        <v>3.6</v>
      </c>
      <c r="P14" s="27">
        <v>12</v>
      </c>
      <c r="Q14" s="25" t="s">
        <v>161</v>
      </c>
      <c r="R14" s="25" t="s">
        <v>137</v>
      </c>
    </row>
    <row r="15" spans="1:18" ht="60" customHeight="1" x14ac:dyDescent="0.25">
      <c r="A15" s="24" t="s">
        <v>162</v>
      </c>
      <c r="B15" s="25" t="s">
        <v>17</v>
      </c>
      <c r="C15" s="25" t="s">
        <v>66</v>
      </c>
      <c r="D15" s="25" t="s">
        <v>163</v>
      </c>
      <c r="E15" s="25" t="s">
        <v>164</v>
      </c>
      <c r="F15" s="25" t="s">
        <v>60</v>
      </c>
      <c r="G15" s="25" t="s">
        <v>165</v>
      </c>
      <c r="H15" s="25" t="s">
        <v>99</v>
      </c>
      <c r="I15" s="28">
        <v>145449000</v>
      </c>
      <c r="J15" s="28">
        <v>194647580</v>
      </c>
      <c r="K15" s="25" t="s">
        <v>53</v>
      </c>
      <c r="L15" s="29">
        <v>8171</v>
      </c>
      <c r="M15" s="29">
        <v>10935</v>
      </c>
      <c r="N15" s="26">
        <v>0.5</v>
      </c>
      <c r="O15" s="26">
        <v>0.7</v>
      </c>
      <c r="P15" s="27">
        <v>2</v>
      </c>
      <c r="Q15" s="25" t="s">
        <v>166</v>
      </c>
      <c r="R15" s="25" t="s">
        <v>137</v>
      </c>
    </row>
    <row r="16" spans="1:18" ht="60" customHeight="1" x14ac:dyDescent="0.25">
      <c r="A16" s="24" t="s">
        <v>167</v>
      </c>
      <c r="B16" s="25" t="s">
        <v>17</v>
      </c>
      <c r="C16" s="25" t="s">
        <v>168</v>
      </c>
      <c r="D16" s="25" t="s">
        <v>169</v>
      </c>
      <c r="E16" s="25" t="s">
        <v>170</v>
      </c>
      <c r="F16" s="25" t="s">
        <v>60</v>
      </c>
      <c r="G16" s="25" t="s">
        <v>171</v>
      </c>
      <c r="H16" s="25" t="s">
        <v>99</v>
      </c>
      <c r="I16" s="28">
        <v>55700000</v>
      </c>
      <c r="J16" s="28">
        <v>126500000</v>
      </c>
      <c r="K16" s="25" t="s">
        <v>53</v>
      </c>
      <c r="L16" s="29">
        <v>3129</v>
      </c>
      <c r="M16" s="29">
        <v>7107</v>
      </c>
      <c r="N16" s="26">
        <v>4.4000000000000004</v>
      </c>
      <c r="O16" s="26">
        <v>5.9</v>
      </c>
      <c r="P16" s="27">
        <v>20</v>
      </c>
      <c r="Q16" s="25" t="s">
        <v>172</v>
      </c>
      <c r="R16" s="25" t="s">
        <v>137</v>
      </c>
    </row>
    <row r="17" spans="1:18" ht="60" customHeight="1" x14ac:dyDescent="0.25">
      <c r="A17" s="24" t="s">
        <v>173</v>
      </c>
      <c r="B17" s="25" t="s">
        <v>17</v>
      </c>
      <c r="C17" s="25" t="s">
        <v>174</v>
      </c>
      <c r="D17" s="25" t="s">
        <v>175</v>
      </c>
      <c r="E17" s="25" t="s">
        <v>176</v>
      </c>
      <c r="F17" s="25" t="s">
        <v>60</v>
      </c>
      <c r="G17" s="25" t="s">
        <v>177</v>
      </c>
      <c r="H17" s="25" t="s">
        <v>99</v>
      </c>
      <c r="I17" s="28">
        <v>148800000</v>
      </c>
      <c r="J17" s="28">
        <v>180000000</v>
      </c>
      <c r="K17" s="25" t="s">
        <v>91</v>
      </c>
      <c r="L17" s="29">
        <v>8360</v>
      </c>
      <c r="M17" s="29">
        <v>10112</v>
      </c>
      <c r="N17" s="26">
        <v>20.3</v>
      </c>
      <c r="O17" s="26">
        <v>27.4</v>
      </c>
      <c r="P17" s="27">
        <v>68</v>
      </c>
      <c r="Q17" s="25" t="s">
        <v>178</v>
      </c>
      <c r="R17" s="25" t="s">
        <v>137</v>
      </c>
    </row>
    <row r="18" spans="1:18" ht="60" customHeight="1" x14ac:dyDescent="0.25">
      <c r="A18" s="24" t="s">
        <v>179</v>
      </c>
      <c r="B18" s="25" t="s">
        <v>17</v>
      </c>
      <c r="C18" s="25" t="s">
        <v>85</v>
      </c>
      <c r="D18" s="25" t="s">
        <v>180</v>
      </c>
      <c r="E18" s="25" t="s">
        <v>134</v>
      </c>
      <c r="F18" s="25" t="s">
        <v>60</v>
      </c>
      <c r="G18" s="25" t="s">
        <v>181</v>
      </c>
      <c r="H18" s="25" t="s">
        <v>99</v>
      </c>
      <c r="I18" s="25" t="s">
        <v>118</v>
      </c>
      <c r="J18" s="25" t="s">
        <v>118</v>
      </c>
      <c r="K18" s="25" t="s">
        <v>182</v>
      </c>
      <c r="L18" s="25" t="s">
        <v>81</v>
      </c>
      <c r="M18" s="25" t="s">
        <v>81</v>
      </c>
      <c r="N18" s="26">
        <v>11.9</v>
      </c>
      <c r="O18" s="26">
        <v>16</v>
      </c>
      <c r="P18" s="27">
        <v>48</v>
      </c>
      <c r="Q18" s="25" t="s">
        <v>183</v>
      </c>
      <c r="R18" s="25" t="s">
        <v>137</v>
      </c>
    </row>
    <row r="19" spans="1:18" ht="60" customHeight="1" x14ac:dyDescent="0.25">
      <c r="A19" s="24" t="s">
        <v>184</v>
      </c>
      <c r="B19" s="25" t="s">
        <v>17</v>
      </c>
      <c r="C19" s="25" t="s">
        <v>185</v>
      </c>
      <c r="D19" s="25" t="s">
        <v>186</v>
      </c>
      <c r="E19" s="25" t="s">
        <v>187</v>
      </c>
      <c r="F19" s="25" t="s">
        <v>60</v>
      </c>
      <c r="G19" s="25" t="s">
        <v>188</v>
      </c>
      <c r="H19" s="25" t="s">
        <v>99</v>
      </c>
      <c r="I19" s="25" t="s">
        <v>118</v>
      </c>
      <c r="J19" s="25" t="s">
        <v>118</v>
      </c>
      <c r="K19" s="25" t="s">
        <v>182</v>
      </c>
      <c r="L19" s="25" t="s">
        <v>81</v>
      </c>
      <c r="M19" s="25" t="s">
        <v>81</v>
      </c>
      <c r="N19" s="26">
        <v>16.2</v>
      </c>
      <c r="O19" s="26">
        <v>21.8</v>
      </c>
      <c r="P19" s="27">
        <v>55</v>
      </c>
      <c r="Q19" s="25" t="s">
        <v>189</v>
      </c>
      <c r="R19" s="25" t="s">
        <v>146</v>
      </c>
    </row>
    <row r="20" spans="1:18" ht="60" customHeight="1" x14ac:dyDescent="0.25">
      <c r="A20" s="24" t="s">
        <v>190</v>
      </c>
      <c r="B20" s="25" t="s">
        <v>17</v>
      </c>
      <c r="C20" s="25" t="s">
        <v>168</v>
      </c>
      <c r="D20" s="25" t="s">
        <v>191</v>
      </c>
      <c r="E20" s="25" t="s">
        <v>192</v>
      </c>
      <c r="F20" s="25" t="s">
        <v>60</v>
      </c>
      <c r="G20" s="25" t="s">
        <v>193</v>
      </c>
      <c r="H20" s="25" t="s">
        <v>99</v>
      </c>
      <c r="I20" s="28">
        <v>65500000</v>
      </c>
      <c r="J20" s="28">
        <v>127500000</v>
      </c>
      <c r="K20" s="25" t="s">
        <v>53</v>
      </c>
      <c r="L20" s="29">
        <v>3680</v>
      </c>
      <c r="M20" s="29">
        <v>7163</v>
      </c>
      <c r="N20" s="26">
        <v>4.4000000000000004</v>
      </c>
      <c r="O20" s="26">
        <v>5.9</v>
      </c>
      <c r="P20" s="27">
        <v>20</v>
      </c>
      <c r="Q20" s="25" t="s">
        <v>194</v>
      </c>
      <c r="R20" s="25" t="s">
        <v>137</v>
      </c>
    </row>
    <row r="21" spans="1:18" ht="60" customHeight="1" x14ac:dyDescent="0.25">
      <c r="A21" s="24" t="s">
        <v>195</v>
      </c>
      <c r="B21" s="25" t="s">
        <v>17</v>
      </c>
      <c r="C21" s="25" t="s">
        <v>85</v>
      </c>
      <c r="D21" s="25" t="s">
        <v>196</v>
      </c>
      <c r="E21" s="25" t="s">
        <v>197</v>
      </c>
      <c r="F21" s="25" t="s">
        <v>60</v>
      </c>
      <c r="G21" s="25" t="s">
        <v>135</v>
      </c>
      <c r="H21" s="25" t="s">
        <v>99</v>
      </c>
      <c r="I21" s="28">
        <v>29220000</v>
      </c>
      <c r="J21" s="28">
        <v>75000000</v>
      </c>
      <c r="K21" s="25" t="s">
        <v>53</v>
      </c>
      <c r="L21" s="29">
        <v>1642</v>
      </c>
      <c r="M21" s="29">
        <v>4213</v>
      </c>
      <c r="N21" s="26">
        <v>11.8</v>
      </c>
      <c r="O21" s="26">
        <v>15.9</v>
      </c>
      <c r="P21" s="27">
        <v>48</v>
      </c>
      <c r="Q21" s="25" t="s">
        <v>198</v>
      </c>
      <c r="R21" s="25" t="s">
        <v>137</v>
      </c>
    </row>
    <row r="22" spans="1:18" ht="60" customHeight="1" x14ac:dyDescent="0.25">
      <c r="A22" s="24" t="s">
        <v>199</v>
      </c>
      <c r="B22" s="25" t="s">
        <v>200</v>
      </c>
      <c r="C22" s="25" t="s">
        <v>201</v>
      </c>
      <c r="D22" s="25" t="s">
        <v>202</v>
      </c>
      <c r="E22" s="25" t="s">
        <v>203</v>
      </c>
      <c r="F22" s="25" t="s">
        <v>60</v>
      </c>
      <c r="G22" s="25" t="s">
        <v>160</v>
      </c>
      <c r="H22" s="25" t="s">
        <v>99</v>
      </c>
      <c r="I22" s="25" t="s">
        <v>118</v>
      </c>
      <c r="J22" s="25" t="s">
        <v>118</v>
      </c>
      <c r="K22" s="25" t="s">
        <v>182</v>
      </c>
      <c r="L22" s="25" t="s">
        <v>81</v>
      </c>
      <c r="M22" s="25" t="s">
        <v>81</v>
      </c>
      <c r="N22" s="26">
        <v>12.5</v>
      </c>
      <c r="O22" s="26">
        <v>16.8</v>
      </c>
      <c r="P22" s="27">
        <v>51</v>
      </c>
      <c r="Q22" s="25" t="s">
        <v>204</v>
      </c>
      <c r="R22" s="25" t="s">
        <v>137</v>
      </c>
    </row>
    <row r="23" spans="1:18" ht="60" customHeight="1" x14ac:dyDescent="0.25">
      <c r="A23" s="24" t="s">
        <v>205</v>
      </c>
      <c r="B23" s="25" t="s">
        <v>200</v>
      </c>
      <c r="C23" s="25" t="s">
        <v>168</v>
      </c>
      <c r="D23" s="25" t="s">
        <v>206</v>
      </c>
      <c r="E23" s="25" t="s">
        <v>207</v>
      </c>
      <c r="F23" s="25" t="s">
        <v>208</v>
      </c>
      <c r="G23" s="25" t="s">
        <v>209</v>
      </c>
      <c r="H23" s="25" t="s">
        <v>99</v>
      </c>
      <c r="I23" s="28">
        <v>54000000</v>
      </c>
      <c r="J23" s="28">
        <v>66600000</v>
      </c>
      <c r="K23" s="25" t="s">
        <v>91</v>
      </c>
      <c r="L23" s="29">
        <v>3034</v>
      </c>
      <c r="M23" s="29">
        <v>3742</v>
      </c>
      <c r="N23" s="26">
        <v>4.0999999999999996</v>
      </c>
      <c r="O23" s="26">
        <v>5.5</v>
      </c>
      <c r="P23" s="27">
        <v>18</v>
      </c>
      <c r="Q23" s="25" t="s">
        <v>210</v>
      </c>
      <c r="R23" s="25" t="s">
        <v>137</v>
      </c>
    </row>
    <row r="24" spans="1:18" ht="60" customHeight="1" x14ac:dyDescent="0.25">
      <c r="A24" s="24" t="s">
        <v>211</v>
      </c>
      <c r="B24" s="25" t="s">
        <v>200</v>
      </c>
      <c r="C24" s="25" t="s">
        <v>212</v>
      </c>
      <c r="D24" s="25" t="s">
        <v>213</v>
      </c>
      <c r="E24" s="25" t="s">
        <v>214</v>
      </c>
      <c r="F24" s="25" t="s">
        <v>60</v>
      </c>
      <c r="G24" s="25" t="s">
        <v>160</v>
      </c>
      <c r="H24" s="25" t="s">
        <v>99</v>
      </c>
      <c r="I24" s="25" t="s">
        <v>118</v>
      </c>
      <c r="J24" s="25" t="s">
        <v>118</v>
      </c>
      <c r="K24" s="25" t="s">
        <v>182</v>
      </c>
      <c r="L24" s="25" t="s">
        <v>81</v>
      </c>
      <c r="M24" s="25" t="s">
        <v>81</v>
      </c>
      <c r="N24" s="26">
        <v>5.5</v>
      </c>
      <c r="O24" s="26">
        <v>7.4</v>
      </c>
      <c r="P24" s="27">
        <v>20</v>
      </c>
      <c r="Q24" s="25" t="s">
        <v>215</v>
      </c>
      <c r="R24" s="25" t="s">
        <v>137</v>
      </c>
    </row>
    <row r="25" spans="1:18" ht="60" customHeight="1" x14ac:dyDescent="0.25">
      <c r="A25" s="24" t="s">
        <v>216</v>
      </c>
      <c r="B25" s="25" t="s">
        <v>200</v>
      </c>
      <c r="C25" s="25" t="s">
        <v>217</v>
      </c>
      <c r="D25" s="25" t="s">
        <v>218</v>
      </c>
      <c r="E25" s="25" t="s">
        <v>134</v>
      </c>
      <c r="F25" s="25" t="s">
        <v>60</v>
      </c>
      <c r="G25" s="25" t="s">
        <v>219</v>
      </c>
      <c r="H25" s="25" t="s">
        <v>99</v>
      </c>
      <c r="I25" s="28">
        <v>114800000</v>
      </c>
      <c r="J25" s="28">
        <v>139800000</v>
      </c>
      <c r="K25" s="25" t="s">
        <v>53</v>
      </c>
      <c r="L25" s="29">
        <v>6449</v>
      </c>
      <c r="M25" s="29">
        <v>7854</v>
      </c>
      <c r="N25" s="26">
        <v>7.7</v>
      </c>
      <c r="O25" s="26">
        <v>10.4</v>
      </c>
      <c r="P25" s="27">
        <v>28</v>
      </c>
      <c r="Q25" s="25" t="s">
        <v>220</v>
      </c>
      <c r="R25" s="25" t="s">
        <v>137</v>
      </c>
    </row>
    <row r="26" spans="1:18" ht="60" customHeight="1" x14ac:dyDescent="0.25">
      <c r="A26" s="24" t="s">
        <v>221</v>
      </c>
      <c r="B26" s="25" t="s">
        <v>200</v>
      </c>
      <c r="C26" s="25" t="s">
        <v>222</v>
      </c>
      <c r="D26" s="25" t="s">
        <v>223</v>
      </c>
      <c r="E26" s="25" t="s">
        <v>224</v>
      </c>
      <c r="F26" s="25" t="s">
        <v>60</v>
      </c>
      <c r="G26" s="25" t="s">
        <v>193</v>
      </c>
      <c r="H26" s="25" t="s">
        <v>99</v>
      </c>
      <c r="I26" s="28">
        <v>81765758</v>
      </c>
      <c r="J26" s="28">
        <v>147393000</v>
      </c>
      <c r="K26" s="25" t="s">
        <v>53</v>
      </c>
      <c r="L26" s="29">
        <v>4594</v>
      </c>
      <c r="M26" s="29">
        <v>8281</v>
      </c>
      <c r="N26" s="26">
        <v>3.2</v>
      </c>
      <c r="O26" s="26">
        <v>4.3</v>
      </c>
      <c r="P26" s="27">
        <v>14</v>
      </c>
      <c r="Q26" s="25" t="s">
        <v>225</v>
      </c>
      <c r="R26" s="25" t="s">
        <v>137</v>
      </c>
    </row>
    <row r="27" spans="1:18" ht="60" customHeight="1" x14ac:dyDescent="0.25">
      <c r="A27" s="24" t="s">
        <v>226</v>
      </c>
      <c r="B27" s="25" t="s">
        <v>200</v>
      </c>
      <c r="C27" s="25" t="s">
        <v>227</v>
      </c>
      <c r="D27" s="25" t="s">
        <v>228</v>
      </c>
      <c r="E27" s="25" t="s">
        <v>229</v>
      </c>
      <c r="F27" s="25" t="s">
        <v>60</v>
      </c>
      <c r="G27" s="25" t="s">
        <v>230</v>
      </c>
      <c r="H27" s="25" t="s">
        <v>99</v>
      </c>
      <c r="I27" s="28">
        <v>81040000</v>
      </c>
      <c r="J27" s="28">
        <v>81040000</v>
      </c>
      <c r="K27" s="25" t="s">
        <v>231</v>
      </c>
      <c r="L27" s="29">
        <v>4553</v>
      </c>
      <c r="M27" s="29">
        <v>4553</v>
      </c>
      <c r="N27" s="26">
        <v>5.7</v>
      </c>
      <c r="O27" s="26">
        <v>7.6</v>
      </c>
      <c r="P27" s="27">
        <v>21</v>
      </c>
      <c r="Q27" s="25" t="s">
        <v>232</v>
      </c>
      <c r="R27" s="25" t="s">
        <v>137</v>
      </c>
    </row>
    <row r="28" spans="1:18" ht="60" customHeight="1" x14ac:dyDescent="0.25">
      <c r="A28" s="30" t="s">
        <v>233</v>
      </c>
      <c r="B28" s="31" t="s">
        <v>234</v>
      </c>
      <c r="C28" s="31" t="s">
        <v>235</v>
      </c>
      <c r="D28" s="31" t="s">
        <v>236</v>
      </c>
      <c r="E28" s="31" t="s">
        <v>237</v>
      </c>
      <c r="F28" s="31" t="s">
        <v>60</v>
      </c>
      <c r="G28" s="31" t="s">
        <v>238</v>
      </c>
      <c r="H28" s="31" t="s">
        <v>239</v>
      </c>
      <c r="I28" s="32">
        <v>178586100</v>
      </c>
      <c r="J28" s="32">
        <v>178586100</v>
      </c>
      <c r="K28" s="31" t="s">
        <v>240</v>
      </c>
      <c r="L28" s="33">
        <v>10033</v>
      </c>
      <c r="M28" s="33">
        <v>10033</v>
      </c>
      <c r="N28" s="34">
        <v>19.7</v>
      </c>
      <c r="O28" s="34">
        <v>26.6</v>
      </c>
      <c r="P28" s="35">
        <v>67</v>
      </c>
      <c r="Q28" s="31" t="s">
        <v>241</v>
      </c>
      <c r="R28" s="31" t="s">
        <v>137</v>
      </c>
    </row>
    <row r="29" spans="1:18" ht="60" customHeight="1" x14ac:dyDescent="0.25">
      <c r="A29" s="30" t="s">
        <v>242</v>
      </c>
      <c r="B29" s="31" t="s">
        <v>234</v>
      </c>
      <c r="C29" s="31" t="s">
        <v>235</v>
      </c>
      <c r="D29" s="31" t="s">
        <v>243</v>
      </c>
      <c r="E29" s="31" t="s">
        <v>244</v>
      </c>
      <c r="F29" s="31" t="s">
        <v>60</v>
      </c>
      <c r="G29" s="31" t="s">
        <v>171</v>
      </c>
      <c r="H29" s="31" t="s">
        <v>99</v>
      </c>
      <c r="I29" s="32">
        <v>69345000</v>
      </c>
      <c r="J29" s="32">
        <v>116725000</v>
      </c>
      <c r="K29" s="31" t="s">
        <v>53</v>
      </c>
      <c r="L29" s="33">
        <v>3896</v>
      </c>
      <c r="M29" s="33">
        <v>6558</v>
      </c>
      <c r="N29" s="34">
        <v>19.7</v>
      </c>
      <c r="O29" s="34">
        <v>26.5</v>
      </c>
      <c r="P29" s="35">
        <v>66</v>
      </c>
      <c r="Q29" s="31" t="s">
        <v>245</v>
      </c>
      <c r="R29" s="31" t="s">
        <v>137</v>
      </c>
    </row>
    <row r="30" spans="1:18" ht="60" customHeight="1" x14ac:dyDescent="0.25">
      <c r="A30" s="30" t="s">
        <v>246</v>
      </c>
      <c r="B30" s="31" t="s">
        <v>234</v>
      </c>
      <c r="C30" s="31" t="s">
        <v>247</v>
      </c>
      <c r="D30" s="31" t="s">
        <v>248</v>
      </c>
      <c r="E30" s="31" t="s">
        <v>249</v>
      </c>
      <c r="F30" s="31" t="s">
        <v>60</v>
      </c>
      <c r="G30" s="31" t="s">
        <v>250</v>
      </c>
      <c r="H30" s="31" t="s">
        <v>251</v>
      </c>
      <c r="I30" s="32">
        <v>105000000</v>
      </c>
      <c r="J30" s="32">
        <v>142000000</v>
      </c>
      <c r="K30" s="31" t="s">
        <v>53</v>
      </c>
      <c r="L30" s="33">
        <v>5899</v>
      </c>
      <c r="M30" s="33">
        <v>7978</v>
      </c>
      <c r="N30" s="34">
        <v>20.6</v>
      </c>
      <c r="O30" s="34">
        <v>27.8</v>
      </c>
      <c r="P30" s="35">
        <v>69</v>
      </c>
      <c r="Q30" s="31" t="s">
        <v>252</v>
      </c>
      <c r="R30" s="31" t="s">
        <v>137</v>
      </c>
    </row>
    <row r="31" spans="1:18" ht="60" customHeight="1" x14ac:dyDescent="0.25">
      <c r="A31" s="30" t="s">
        <v>253</v>
      </c>
      <c r="B31" s="31" t="s">
        <v>234</v>
      </c>
      <c r="C31" s="31" t="s">
        <v>254</v>
      </c>
      <c r="D31" s="31" t="s">
        <v>255</v>
      </c>
      <c r="E31" s="31" t="s">
        <v>256</v>
      </c>
      <c r="F31" s="31" t="s">
        <v>60</v>
      </c>
      <c r="G31" s="31" t="s">
        <v>257</v>
      </c>
      <c r="H31" s="31" t="s">
        <v>99</v>
      </c>
      <c r="I31" s="31" t="s">
        <v>118</v>
      </c>
      <c r="J31" s="31" t="s">
        <v>118</v>
      </c>
      <c r="K31" s="31" t="s">
        <v>182</v>
      </c>
      <c r="L31" s="31" t="s">
        <v>81</v>
      </c>
      <c r="M31" s="31" t="s">
        <v>81</v>
      </c>
      <c r="N31" s="34">
        <v>22.5</v>
      </c>
      <c r="O31" s="34">
        <v>30.4</v>
      </c>
      <c r="P31" s="35">
        <v>76</v>
      </c>
      <c r="Q31" s="31" t="s">
        <v>258</v>
      </c>
      <c r="R31" s="31" t="s">
        <v>137</v>
      </c>
    </row>
    <row r="32" spans="1:18" ht="60" customHeight="1" x14ac:dyDescent="0.25">
      <c r="A32" s="30" t="s">
        <v>259</v>
      </c>
      <c r="B32" s="31" t="s">
        <v>234</v>
      </c>
      <c r="C32" s="31" t="s">
        <v>260</v>
      </c>
      <c r="D32" s="31" t="s">
        <v>261</v>
      </c>
      <c r="E32" s="31" t="s">
        <v>262</v>
      </c>
      <c r="F32" s="31" t="s">
        <v>60</v>
      </c>
      <c r="G32" s="31" t="s">
        <v>171</v>
      </c>
      <c r="H32" s="31" t="s">
        <v>99</v>
      </c>
      <c r="I32" s="31" t="s">
        <v>118</v>
      </c>
      <c r="J32" s="31" t="s">
        <v>118</v>
      </c>
      <c r="K32" s="31" t="s">
        <v>182</v>
      </c>
      <c r="L32" s="31" t="s">
        <v>81</v>
      </c>
      <c r="M32" s="31" t="s">
        <v>81</v>
      </c>
      <c r="N32" s="34">
        <v>25.6</v>
      </c>
      <c r="O32" s="34">
        <v>34.5</v>
      </c>
      <c r="P32" s="35">
        <v>86</v>
      </c>
      <c r="Q32" s="31" t="s">
        <v>263</v>
      </c>
      <c r="R32" s="31" t="s">
        <v>137</v>
      </c>
    </row>
    <row r="33" spans="1:18" ht="60" customHeight="1" x14ac:dyDescent="0.25">
      <c r="A33" s="30" t="s">
        <v>264</v>
      </c>
      <c r="B33" s="31" t="s">
        <v>234</v>
      </c>
      <c r="C33" s="31" t="s">
        <v>260</v>
      </c>
      <c r="D33" s="31" t="s">
        <v>265</v>
      </c>
      <c r="E33" s="31" t="s">
        <v>266</v>
      </c>
      <c r="F33" s="31" t="s">
        <v>60</v>
      </c>
      <c r="G33" s="31" t="s">
        <v>267</v>
      </c>
      <c r="H33" s="31" t="s">
        <v>99</v>
      </c>
      <c r="I33" s="32">
        <v>69500000</v>
      </c>
      <c r="J33" s="32">
        <v>117000000</v>
      </c>
      <c r="K33" s="31" t="s">
        <v>53</v>
      </c>
      <c r="L33" s="33">
        <v>3904</v>
      </c>
      <c r="M33" s="33">
        <v>6573</v>
      </c>
      <c r="N33" s="34">
        <v>24.2</v>
      </c>
      <c r="O33" s="34">
        <v>32.700000000000003</v>
      </c>
      <c r="P33" s="35">
        <v>82</v>
      </c>
      <c r="Q33" s="31" t="s">
        <v>268</v>
      </c>
      <c r="R33" s="31" t="s">
        <v>137</v>
      </c>
    </row>
    <row r="34" spans="1:18" ht="60" customHeight="1" x14ac:dyDescent="0.25">
      <c r="A34" s="30" t="s">
        <v>269</v>
      </c>
      <c r="B34" s="31" t="s">
        <v>234</v>
      </c>
      <c r="C34" s="31" t="s">
        <v>270</v>
      </c>
      <c r="D34" s="31" t="s">
        <v>271</v>
      </c>
      <c r="E34" s="31" t="s">
        <v>272</v>
      </c>
      <c r="F34" s="31" t="s">
        <v>60</v>
      </c>
      <c r="G34" s="31" t="s">
        <v>273</v>
      </c>
      <c r="H34" s="31" t="s">
        <v>274</v>
      </c>
      <c r="I34" s="32">
        <v>61180000</v>
      </c>
      <c r="J34" s="32">
        <v>61180000</v>
      </c>
      <c r="K34" s="31" t="s">
        <v>240</v>
      </c>
      <c r="L34" s="33">
        <v>3437</v>
      </c>
      <c r="M34" s="33">
        <v>3437</v>
      </c>
      <c r="N34" s="34">
        <v>3.7</v>
      </c>
      <c r="O34" s="34">
        <v>5.0999999999999996</v>
      </c>
      <c r="P34" s="35">
        <v>14</v>
      </c>
      <c r="Q34" s="31" t="s">
        <v>275</v>
      </c>
      <c r="R34" s="31" t="s">
        <v>137</v>
      </c>
    </row>
    <row r="35" spans="1:18" ht="60" customHeight="1" x14ac:dyDescent="0.25">
      <c r="A35" s="30" t="s">
        <v>276</v>
      </c>
      <c r="B35" s="31" t="s">
        <v>234</v>
      </c>
      <c r="C35" s="31" t="s">
        <v>168</v>
      </c>
      <c r="D35" s="31" t="s">
        <v>277</v>
      </c>
      <c r="E35" s="31" t="s">
        <v>207</v>
      </c>
      <c r="F35" s="31" t="s">
        <v>60</v>
      </c>
      <c r="G35" s="31" t="s">
        <v>181</v>
      </c>
      <c r="H35" s="31" t="s">
        <v>99</v>
      </c>
      <c r="I35" s="31" t="s">
        <v>118</v>
      </c>
      <c r="J35" s="31" t="s">
        <v>118</v>
      </c>
      <c r="K35" s="31" t="s">
        <v>182</v>
      </c>
      <c r="L35" s="31" t="s">
        <v>81</v>
      </c>
      <c r="M35" s="31" t="s">
        <v>81</v>
      </c>
      <c r="N35" s="34">
        <v>4.4000000000000004</v>
      </c>
      <c r="O35" s="34">
        <v>6</v>
      </c>
      <c r="P35" s="35">
        <v>20</v>
      </c>
      <c r="Q35" s="31" t="s">
        <v>278</v>
      </c>
      <c r="R35" s="31" t="s">
        <v>137</v>
      </c>
    </row>
    <row r="36" spans="1:18" ht="60" customHeight="1" x14ac:dyDescent="0.25">
      <c r="A36" s="30" t="s">
        <v>279</v>
      </c>
      <c r="B36" s="31" t="s">
        <v>234</v>
      </c>
      <c r="C36" s="31" t="s">
        <v>280</v>
      </c>
      <c r="D36" s="31" t="s">
        <v>281</v>
      </c>
      <c r="E36" s="31" t="s">
        <v>282</v>
      </c>
      <c r="F36" s="31" t="s">
        <v>208</v>
      </c>
      <c r="G36" s="31" t="s">
        <v>135</v>
      </c>
      <c r="H36" s="31" t="s">
        <v>99</v>
      </c>
      <c r="I36" s="32">
        <v>13950000</v>
      </c>
      <c r="J36" s="32">
        <v>23500000</v>
      </c>
      <c r="K36" s="31" t="s">
        <v>53</v>
      </c>
      <c r="L36" s="33">
        <v>784</v>
      </c>
      <c r="M36" s="33">
        <v>1320</v>
      </c>
      <c r="N36" s="34">
        <v>6.4</v>
      </c>
      <c r="O36" s="34">
        <v>8.6999999999999993</v>
      </c>
      <c r="P36" s="35">
        <v>26</v>
      </c>
      <c r="Q36" s="31" t="s">
        <v>283</v>
      </c>
      <c r="R36" s="31" t="s">
        <v>137</v>
      </c>
    </row>
    <row r="37" spans="1:18" ht="60" customHeight="1" x14ac:dyDescent="0.25">
      <c r="A37" s="30" t="s">
        <v>284</v>
      </c>
      <c r="B37" s="31" t="s">
        <v>285</v>
      </c>
      <c r="C37" s="31" t="s">
        <v>286</v>
      </c>
      <c r="D37" s="31" t="s">
        <v>287</v>
      </c>
      <c r="E37" s="31" t="s">
        <v>288</v>
      </c>
      <c r="F37" s="31" t="s">
        <v>60</v>
      </c>
      <c r="G37" s="31" t="s">
        <v>289</v>
      </c>
      <c r="H37" s="31" t="s">
        <v>99</v>
      </c>
      <c r="I37" s="32">
        <v>54000000</v>
      </c>
      <c r="J37" s="32">
        <v>95000000</v>
      </c>
      <c r="K37" s="31" t="s">
        <v>91</v>
      </c>
      <c r="L37" s="33">
        <v>3034</v>
      </c>
      <c r="M37" s="33">
        <v>5337</v>
      </c>
      <c r="N37" s="34">
        <v>65.7</v>
      </c>
      <c r="O37" s="34">
        <v>88.7</v>
      </c>
      <c r="P37" s="35">
        <v>166</v>
      </c>
      <c r="Q37" s="31" t="s">
        <v>290</v>
      </c>
      <c r="R37" s="31" t="s">
        <v>137</v>
      </c>
    </row>
    <row r="38" spans="1:18" ht="60" customHeight="1" x14ac:dyDescent="0.25">
      <c r="A38" s="30" t="s">
        <v>291</v>
      </c>
      <c r="B38" s="31" t="s">
        <v>285</v>
      </c>
      <c r="C38" s="31" t="s">
        <v>292</v>
      </c>
      <c r="D38" s="31" t="s">
        <v>293</v>
      </c>
      <c r="E38" s="31" t="s">
        <v>294</v>
      </c>
      <c r="F38" s="31" t="s">
        <v>295</v>
      </c>
      <c r="G38" s="31" t="s">
        <v>193</v>
      </c>
      <c r="H38" s="31" t="s">
        <v>99</v>
      </c>
      <c r="I38" s="32">
        <v>16500000</v>
      </c>
      <c r="J38" s="32">
        <v>18300000</v>
      </c>
      <c r="K38" s="31" t="s">
        <v>296</v>
      </c>
      <c r="L38" s="33">
        <v>927</v>
      </c>
      <c r="M38" s="33">
        <v>1028</v>
      </c>
      <c r="N38" s="34">
        <v>57.1</v>
      </c>
      <c r="O38" s="34">
        <v>77</v>
      </c>
      <c r="P38" s="35">
        <v>144</v>
      </c>
      <c r="Q38" s="31" t="s">
        <v>297</v>
      </c>
      <c r="R38" s="31" t="s">
        <v>137</v>
      </c>
    </row>
    <row r="39" spans="1:18" ht="60" customHeight="1" x14ac:dyDescent="0.25">
      <c r="A39" s="30" t="s">
        <v>298</v>
      </c>
      <c r="B39" s="31" t="s">
        <v>285</v>
      </c>
      <c r="C39" s="31" t="s">
        <v>292</v>
      </c>
      <c r="D39" s="31" t="s">
        <v>299</v>
      </c>
      <c r="E39" s="31" t="s">
        <v>300</v>
      </c>
      <c r="F39" s="31" t="s">
        <v>208</v>
      </c>
      <c r="G39" s="31" t="s">
        <v>301</v>
      </c>
      <c r="H39" s="31" t="s">
        <v>99</v>
      </c>
      <c r="I39" s="31" t="s">
        <v>118</v>
      </c>
      <c r="J39" s="31" t="s">
        <v>118</v>
      </c>
      <c r="K39" s="31" t="s">
        <v>99</v>
      </c>
      <c r="L39" s="31" t="s">
        <v>81</v>
      </c>
      <c r="M39" s="31" t="s">
        <v>81</v>
      </c>
      <c r="N39" s="34">
        <v>57.7</v>
      </c>
      <c r="O39" s="34">
        <v>77.900000000000006</v>
      </c>
      <c r="P39" s="35">
        <v>146</v>
      </c>
      <c r="Q39" s="31" t="s">
        <v>302</v>
      </c>
      <c r="R39" s="31" t="s">
        <v>303</v>
      </c>
    </row>
  </sheetData>
  <conditionalFormatting sqref="P2:P39">
    <cfRule type="colorScale" priority="2">
      <colorScale>
        <cfvo type="min"/>
        <cfvo type="max"/>
        <color rgb="FFC6EFCE"/>
        <color rgb="FFFFC7CE"/>
      </colorScale>
    </cfRule>
  </conditionalFormatting>
  <pageMargins left="0.75" right="0.75" top="1" bottom="1" header="0.511811023622047" footer="0.511811023622047"/>
  <pageSetup paperSize="9" orientation="portrait" horizontalDpi="300" verticalDpi="30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30" customWidth="1"/>
    <col min="2" max="2" width="22" customWidth="1"/>
    <col min="3" max="3" width="40" customWidth="1"/>
    <col min="4" max="4" width="26" customWidth="1"/>
    <col min="5" max="5" width="40" customWidth="1"/>
    <col min="6" max="6" width="22" customWidth="1"/>
    <col min="7" max="7" width="20" customWidth="1"/>
    <col min="8" max="8" width="16" customWidth="1"/>
    <col min="9" max="9" width="46" customWidth="1"/>
    <col min="10" max="10" width="44" customWidth="1"/>
  </cols>
  <sheetData>
    <row r="1" spans="1:10" ht="33.75" customHeight="1" x14ac:dyDescent="0.25">
      <c r="A1" s="11" t="s">
        <v>27</v>
      </c>
      <c r="B1" s="11" t="s">
        <v>304</v>
      </c>
      <c r="C1" s="11" t="s">
        <v>31</v>
      </c>
      <c r="D1" s="11" t="s">
        <v>305</v>
      </c>
      <c r="E1" s="11" t="s">
        <v>34</v>
      </c>
      <c r="F1" s="11" t="s">
        <v>306</v>
      </c>
      <c r="G1" s="11" t="s">
        <v>307</v>
      </c>
      <c r="H1" s="11" t="s">
        <v>308</v>
      </c>
      <c r="I1" s="11" t="s">
        <v>309</v>
      </c>
      <c r="J1" s="11" t="s">
        <v>310</v>
      </c>
    </row>
    <row r="2" spans="1:10" ht="84.75" customHeight="1" x14ac:dyDescent="0.25">
      <c r="A2" s="18" t="s">
        <v>56</v>
      </c>
      <c r="B2" s="19" t="s">
        <v>57</v>
      </c>
      <c r="C2" s="19" t="s">
        <v>59</v>
      </c>
      <c r="D2" s="19" t="s">
        <v>61</v>
      </c>
      <c r="E2" s="19" t="s">
        <v>62</v>
      </c>
      <c r="F2" s="19" t="s">
        <v>311</v>
      </c>
      <c r="G2" s="19" t="s">
        <v>312</v>
      </c>
      <c r="H2" s="19" t="s">
        <v>313</v>
      </c>
      <c r="I2" s="19" t="s">
        <v>314</v>
      </c>
      <c r="J2" s="19" t="s">
        <v>315</v>
      </c>
    </row>
    <row r="3" spans="1:10" ht="84.75" customHeight="1" x14ac:dyDescent="0.25">
      <c r="A3" s="18" t="s">
        <v>65</v>
      </c>
      <c r="B3" s="19" t="s">
        <v>66</v>
      </c>
      <c r="C3" s="19" t="s">
        <v>68</v>
      </c>
      <c r="D3" s="19" t="s">
        <v>70</v>
      </c>
      <c r="E3" s="19" t="s">
        <v>71</v>
      </c>
      <c r="F3" s="19" t="s">
        <v>316</v>
      </c>
      <c r="G3" s="19" t="s">
        <v>317</v>
      </c>
      <c r="H3" s="19" t="s">
        <v>318</v>
      </c>
      <c r="I3" s="19" t="s">
        <v>319</v>
      </c>
      <c r="J3" s="19" t="s">
        <v>320</v>
      </c>
    </row>
    <row r="4" spans="1:10" ht="84.75" customHeight="1" x14ac:dyDescent="0.25">
      <c r="A4" s="18" t="s">
        <v>74</v>
      </c>
      <c r="B4" s="19" t="s">
        <v>75</v>
      </c>
      <c r="C4" s="19" t="s">
        <v>77</v>
      </c>
      <c r="D4" s="19" t="s">
        <v>79</v>
      </c>
      <c r="E4" s="19" t="s">
        <v>80</v>
      </c>
      <c r="F4" s="19" t="s">
        <v>321</v>
      </c>
      <c r="G4" s="19" t="s">
        <v>322</v>
      </c>
      <c r="H4" s="19" t="s">
        <v>323</v>
      </c>
      <c r="I4" s="19" t="s">
        <v>324</v>
      </c>
      <c r="J4" s="19" t="s">
        <v>325</v>
      </c>
    </row>
    <row r="5" spans="1:10" ht="84.75" customHeight="1" x14ac:dyDescent="0.25">
      <c r="A5" s="18" t="s">
        <v>84</v>
      </c>
      <c r="B5" s="19" t="s">
        <v>85</v>
      </c>
      <c r="C5" s="19" t="s">
        <v>87</v>
      </c>
      <c r="D5" s="19" t="s">
        <v>89</v>
      </c>
      <c r="E5" s="19" t="s">
        <v>90</v>
      </c>
      <c r="F5" s="19" t="s">
        <v>326</v>
      </c>
      <c r="G5" s="19" t="s">
        <v>327</v>
      </c>
      <c r="H5" s="19" t="s">
        <v>328</v>
      </c>
      <c r="I5" s="19" t="s">
        <v>329</v>
      </c>
      <c r="J5" s="19" t="s">
        <v>330</v>
      </c>
    </row>
    <row r="6" spans="1:10" ht="84.75" customHeight="1" x14ac:dyDescent="0.25">
      <c r="A6" s="18" t="s">
        <v>94</v>
      </c>
      <c r="B6" s="19" t="s">
        <v>95</v>
      </c>
      <c r="C6" s="19" t="s">
        <v>97</v>
      </c>
      <c r="D6" s="19" t="s">
        <v>98</v>
      </c>
      <c r="E6" s="19" t="s">
        <v>99</v>
      </c>
      <c r="F6" s="19" t="s">
        <v>331</v>
      </c>
      <c r="G6" s="19" t="s">
        <v>332</v>
      </c>
      <c r="H6" s="19" t="s">
        <v>333</v>
      </c>
      <c r="I6" s="19" t="s">
        <v>334</v>
      </c>
      <c r="J6" s="19" t="s">
        <v>335</v>
      </c>
    </row>
    <row r="7" spans="1:10" ht="84.75" customHeight="1" x14ac:dyDescent="0.25">
      <c r="A7" s="18" t="s">
        <v>102</v>
      </c>
      <c r="B7" s="19" t="s">
        <v>104</v>
      </c>
      <c r="C7" s="19" t="s">
        <v>106</v>
      </c>
      <c r="D7" s="19" t="s">
        <v>107</v>
      </c>
      <c r="E7" s="19" t="s">
        <v>108</v>
      </c>
      <c r="F7" s="19" t="s">
        <v>336</v>
      </c>
      <c r="G7" s="19" t="s">
        <v>337</v>
      </c>
      <c r="H7" s="19" t="s">
        <v>338</v>
      </c>
      <c r="I7" s="19" t="s">
        <v>339</v>
      </c>
      <c r="J7" s="19" t="s">
        <v>340</v>
      </c>
    </row>
    <row r="8" spans="1:10" ht="84.75" customHeight="1" x14ac:dyDescent="0.25">
      <c r="A8" s="18" t="s">
        <v>112</v>
      </c>
      <c r="B8" s="19" t="s">
        <v>113</v>
      </c>
      <c r="C8" s="19" t="s">
        <v>115</v>
      </c>
      <c r="D8" s="19" t="s">
        <v>117</v>
      </c>
      <c r="E8" s="19" t="s">
        <v>99</v>
      </c>
      <c r="F8" s="19" t="s">
        <v>341</v>
      </c>
      <c r="G8" s="19" t="s">
        <v>81</v>
      </c>
      <c r="H8" s="19" t="s">
        <v>342</v>
      </c>
      <c r="I8" s="19" t="s">
        <v>343</v>
      </c>
      <c r="J8" s="19" t="s">
        <v>344</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zoomScaleNormal="100" workbookViewId="0">
      <selection sqref="A1:F1"/>
    </sheetView>
  </sheetViews>
  <sheetFormatPr defaultColWidth="8.7109375" defaultRowHeight="15" x14ac:dyDescent="0.25"/>
  <cols>
    <col min="1" max="1" width="38" customWidth="1"/>
    <col min="2" max="3" width="18" customWidth="1"/>
  </cols>
  <sheetData>
    <row r="1" spans="1:6" ht="15.75" x14ac:dyDescent="0.25">
      <c r="A1" s="2" t="s">
        <v>345</v>
      </c>
      <c r="B1" s="2"/>
      <c r="C1" s="2"/>
      <c r="D1" s="2"/>
      <c r="E1" s="2"/>
      <c r="F1" s="2"/>
    </row>
    <row r="2" spans="1:6" x14ac:dyDescent="0.25">
      <c r="A2" s="1" t="s">
        <v>346</v>
      </c>
      <c r="B2" s="1"/>
      <c r="C2" s="1"/>
      <c r="D2" s="1"/>
      <c r="E2" s="1"/>
      <c r="F2" s="1"/>
    </row>
    <row r="4" spans="1:6" x14ac:dyDescent="0.25">
      <c r="A4" s="36" t="s">
        <v>27</v>
      </c>
      <c r="B4" s="36" t="s">
        <v>347</v>
      </c>
      <c r="C4" s="36" t="s">
        <v>348</v>
      </c>
    </row>
    <row r="5" spans="1:6" x14ac:dyDescent="0.25">
      <c r="A5" s="37" t="s">
        <v>74</v>
      </c>
      <c r="B5" s="37">
        <v>47.6</v>
      </c>
      <c r="C5" s="37">
        <v>147.30000000000001</v>
      </c>
    </row>
    <row r="6" spans="1:6" x14ac:dyDescent="0.25">
      <c r="A6" s="37" t="s">
        <v>84</v>
      </c>
      <c r="B6" s="37">
        <v>76</v>
      </c>
      <c r="C6" s="37">
        <v>177</v>
      </c>
    </row>
    <row r="7" spans="1:6" x14ac:dyDescent="0.25">
      <c r="A7" s="37" t="s">
        <v>94</v>
      </c>
      <c r="B7" s="37">
        <v>82.3</v>
      </c>
      <c r="C7" s="37">
        <v>253.5</v>
      </c>
    </row>
    <row r="8" spans="1:6" x14ac:dyDescent="0.25">
      <c r="A8" s="37" t="s">
        <v>102</v>
      </c>
      <c r="B8" s="37">
        <v>230</v>
      </c>
      <c r="C8" s="37">
        <v>280</v>
      </c>
    </row>
    <row r="9" spans="1:6" x14ac:dyDescent="0.25">
      <c r="A9" s="37" t="s">
        <v>65</v>
      </c>
      <c r="B9" s="37">
        <v>139</v>
      </c>
      <c r="C9" s="37">
        <v>295.5</v>
      </c>
    </row>
    <row r="10" spans="1:6" x14ac:dyDescent="0.25">
      <c r="A10" s="37" t="s">
        <v>56</v>
      </c>
      <c r="B10" s="37">
        <v>72.3</v>
      </c>
      <c r="C10" s="37">
        <v>302.39999999999998</v>
      </c>
    </row>
    <row r="11" spans="1:6" x14ac:dyDescent="0.25">
      <c r="A11" s="38" t="s">
        <v>45</v>
      </c>
      <c r="B11" s="38">
        <v>177.8</v>
      </c>
      <c r="C11" s="38">
        <v>319</v>
      </c>
    </row>
  </sheetData>
  <mergeCells count="2">
    <mergeCell ref="A1:F1"/>
    <mergeCell ref="A2:F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2"/>
  <sheetViews>
    <sheetView showGridLines="0" zoomScaleNormal="100" workbookViewId="0">
      <pane ySplit="4" topLeftCell="A5" activePane="bottomLeft" state="frozen"/>
      <selection pane="bottomLeft" activeCell="C5" sqref="C5"/>
    </sheetView>
  </sheetViews>
  <sheetFormatPr defaultColWidth="8.7109375" defaultRowHeight="15" x14ac:dyDescent="0.25"/>
  <cols>
    <col min="1" max="1" width="40" customWidth="1"/>
    <col min="2" max="2" width="24" customWidth="1"/>
    <col min="3" max="3" width="20" customWidth="1"/>
    <col min="4" max="4" width="18" customWidth="1"/>
  </cols>
  <sheetData>
    <row r="1" spans="1:5" ht="15.75" x14ac:dyDescent="0.25">
      <c r="A1" s="2" t="s">
        <v>349</v>
      </c>
      <c r="B1" s="2"/>
      <c r="C1" s="2"/>
      <c r="D1" s="2"/>
      <c r="E1" s="2"/>
    </row>
    <row r="2" spans="1:5" x14ac:dyDescent="0.25">
      <c r="A2" s="1" t="s">
        <v>350</v>
      </c>
      <c r="B2" s="1"/>
      <c r="C2" s="1"/>
      <c r="D2" s="1"/>
      <c r="E2" s="1"/>
    </row>
    <row r="4" spans="1:5" x14ac:dyDescent="0.25">
      <c r="A4" s="36" t="s">
        <v>27</v>
      </c>
      <c r="B4" s="36" t="s">
        <v>28</v>
      </c>
      <c r="C4" s="36" t="s">
        <v>351</v>
      </c>
      <c r="D4" s="36" t="s">
        <v>352</v>
      </c>
    </row>
    <row r="5" spans="1:5" x14ac:dyDescent="0.25">
      <c r="A5" s="39" t="s">
        <v>162</v>
      </c>
      <c r="B5" s="39" t="s">
        <v>17</v>
      </c>
      <c r="C5" s="39">
        <v>0.7</v>
      </c>
      <c r="D5" s="39">
        <v>2</v>
      </c>
    </row>
    <row r="6" spans="1:5" x14ac:dyDescent="0.25">
      <c r="A6" s="40" t="s">
        <v>65</v>
      </c>
      <c r="B6" s="40" t="s">
        <v>15</v>
      </c>
      <c r="C6" s="40">
        <v>2.2000000000000002</v>
      </c>
      <c r="D6" s="40">
        <v>7</v>
      </c>
    </row>
    <row r="7" spans="1:5" x14ac:dyDescent="0.25">
      <c r="A7" s="39" t="s">
        <v>147</v>
      </c>
      <c r="B7" s="39" t="s">
        <v>17</v>
      </c>
      <c r="C7" s="39">
        <v>2.2999999999999998</v>
      </c>
      <c r="D7" s="39">
        <v>8</v>
      </c>
    </row>
    <row r="8" spans="1:5" x14ac:dyDescent="0.25">
      <c r="A8" s="39" t="s">
        <v>154</v>
      </c>
      <c r="B8" s="39" t="s">
        <v>155</v>
      </c>
      <c r="C8" s="39">
        <v>3.6</v>
      </c>
      <c r="D8" s="39">
        <v>12</v>
      </c>
    </row>
    <row r="9" spans="1:5" x14ac:dyDescent="0.25">
      <c r="A9" s="39" t="s">
        <v>221</v>
      </c>
      <c r="B9" s="39" t="s">
        <v>200</v>
      </c>
      <c r="C9" s="39">
        <v>4.3</v>
      </c>
      <c r="D9" s="39">
        <v>14</v>
      </c>
    </row>
    <row r="10" spans="1:5" x14ac:dyDescent="0.25">
      <c r="A10" s="41" t="s">
        <v>269</v>
      </c>
      <c r="B10" s="41" t="s">
        <v>234</v>
      </c>
      <c r="C10" s="41">
        <v>5.0999999999999996</v>
      </c>
      <c r="D10" s="41">
        <v>14</v>
      </c>
    </row>
    <row r="11" spans="1:5" x14ac:dyDescent="0.25">
      <c r="A11" s="39" t="s">
        <v>205</v>
      </c>
      <c r="B11" s="39" t="s">
        <v>200</v>
      </c>
      <c r="C11" s="39">
        <v>5.5</v>
      </c>
      <c r="D11" s="39">
        <v>18</v>
      </c>
    </row>
    <row r="12" spans="1:5" x14ac:dyDescent="0.25">
      <c r="A12" s="39" t="s">
        <v>167</v>
      </c>
      <c r="B12" s="39" t="s">
        <v>17</v>
      </c>
      <c r="C12" s="39">
        <v>5.9</v>
      </c>
      <c r="D12" s="39">
        <v>20</v>
      </c>
    </row>
    <row r="13" spans="1:5" x14ac:dyDescent="0.25">
      <c r="A13" s="39" t="s">
        <v>190</v>
      </c>
      <c r="B13" s="39" t="s">
        <v>17</v>
      </c>
      <c r="C13" s="39">
        <v>5.9</v>
      </c>
      <c r="D13" s="39">
        <v>20</v>
      </c>
    </row>
    <row r="14" spans="1:5" x14ac:dyDescent="0.25">
      <c r="A14" s="39" t="s">
        <v>211</v>
      </c>
      <c r="B14" s="39" t="s">
        <v>200</v>
      </c>
      <c r="C14" s="39">
        <v>7.4</v>
      </c>
      <c r="D14" s="39">
        <v>20</v>
      </c>
    </row>
    <row r="15" spans="1:5" x14ac:dyDescent="0.25">
      <c r="A15" s="41" t="s">
        <v>276</v>
      </c>
      <c r="B15" s="41" t="s">
        <v>234</v>
      </c>
      <c r="C15" s="41">
        <v>6</v>
      </c>
      <c r="D15" s="41">
        <v>20</v>
      </c>
    </row>
    <row r="16" spans="1:5" x14ac:dyDescent="0.25">
      <c r="A16" s="39" t="s">
        <v>226</v>
      </c>
      <c r="B16" s="39" t="s">
        <v>200</v>
      </c>
      <c r="C16" s="39">
        <v>7.6</v>
      </c>
      <c r="D16" s="39">
        <v>21</v>
      </c>
    </row>
    <row r="17" spans="1:4" x14ac:dyDescent="0.25">
      <c r="A17" s="41" t="s">
        <v>279</v>
      </c>
      <c r="B17" s="41" t="s">
        <v>234</v>
      </c>
      <c r="C17" s="41">
        <v>8.6999999999999993</v>
      </c>
      <c r="D17" s="41">
        <v>26</v>
      </c>
    </row>
    <row r="18" spans="1:4" x14ac:dyDescent="0.25">
      <c r="A18" s="39" t="s">
        <v>216</v>
      </c>
      <c r="B18" s="39" t="s">
        <v>200</v>
      </c>
      <c r="C18" s="39">
        <v>10.4</v>
      </c>
      <c r="D18" s="39">
        <v>28</v>
      </c>
    </row>
    <row r="19" spans="1:4" x14ac:dyDescent="0.25">
      <c r="A19" s="40" t="s">
        <v>94</v>
      </c>
      <c r="B19" s="40" t="s">
        <v>15</v>
      </c>
      <c r="C19" s="40">
        <v>9.6</v>
      </c>
      <c r="D19" s="40">
        <v>29</v>
      </c>
    </row>
    <row r="20" spans="1:4" x14ac:dyDescent="0.25">
      <c r="A20" s="40" t="s">
        <v>112</v>
      </c>
      <c r="B20" s="40" t="s">
        <v>15</v>
      </c>
      <c r="C20" s="40">
        <v>10.9</v>
      </c>
      <c r="D20" s="40">
        <v>33</v>
      </c>
    </row>
    <row r="21" spans="1:4" x14ac:dyDescent="0.25">
      <c r="A21" s="39" t="s">
        <v>122</v>
      </c>
      <c r="B21" s="39" t="s">
        <v>17</v>
      </c>
      <c r="C21" s="39">
        <v>14.2</v>
      </c>
      <c r="D21" s="39">
        <v>43</v>
      </c>
    </row>
    <row r="22" spans="1:4" x14ac:dyDescent="0.25">
      <c r="A22" s="38" t="s">
        <v>45</v>
      </c>
      <c r="B22" s="38" t="s">
        <v>46</v>
      </c>
      <c r="C22" s="38">
        <v>17.8</v>
      </c>
      <c r="D22" s="38">
        <v>44</v>
      </c>
    </row>
    <row r="23" spans="1:4" x14ac:dyDescent="0.25">
      <c r="A23" s="40" t="s">
        <v>102</v>
      </c>
      <c r="B23" s="40" t="s">
        <v>103</v>
      </c>
      <c r="C23" s="40">
        <v>19.2</v>
      </c>
      <c r="D23" s="40">
        <v>48</v>
      </c>
    </row>
    <row r="24" spans="1:4" x14ac:dyDescent="0.25">
      <c r="A24" s="39" t="s">
        <v>179</v>
      </c>
      <c r="B24" s="39" t="s">
        <v>17</v>
      </c>
      <c r="C24" s="39">
        <v>16</v>
      </c>
      <c r="D24" s="39">
        <v>48</v>
      </c>
    </row>
    <row r="25" spans="1:4" x14ac:dyDescent="0.25">
      <c r="A25" s="39" t="s">
        <v>195</v>
      </c>
      <c r="B25" s="39" t="s">
        <v>17</v>
      </c>
      <c r="C25" s="39">
        <v>15.9</v>
      </c>
      <c r="D25" s="39">
        <v>48</v>
      </c>
    </row>
    <row r="26" spans="1:4" x14ac:dyDescent="0.25">
      <c r="A26" s="40" t="s">
        <v>84</v>
      </c>
      <c r="B26" s="40" t="s">
        <v>15</v>
      </c>
      <c r="C26" s="40">
        <v>16.5</v>
      </c>
      <c r="D26" s="40">
        <v>49</v>
      </c>
    </row>
    <row r="27" spans="1:4" x14ac:dyDescent="0.25">
      <c r="A27" s="39" t="s">
        <v>199</v>
      </c>
      <c r="B27" s="39" t="s">
        <v>200</v>
      </c>
      <c r="C27" s="39">
        <v>16.8</v>
      </c>
      <c r="D27" s="39">
        <v>51</v>
      </c>
    </row>
    <row r="28" spans="1:4" x14ac:dyDescent="0.25">
      <c r="A28" s="39" t="s">
        <v>131</v>
      </c>
      <c r="B28" s="39" t="s">
        <v>17</v>
      </c>
      <c r="C28" s="39">
        <v>17.600000000000001</v>
      </c>
      <c r="D28" s="39">
        <v>53</v>
      </c>
    </row>
    <row r="29" spans="1:4" x14ac:dyDescent="0.25">
      <c r="A29" s="40" t="s">
        <v>56</v>
      </c>
      <c r="B29" s="40" t="s">
        <v>15</v>
      </c>
      <c r="C29" s="40">
        <v>18.399999999999999</v>
      </c>
      <c r="D29" s="40">
        <v>55</v>
      </c>
    </row>
    <row r="30" spans="1:4" x14ac:dyDescent="0.25">
      <c r="A30" s="39" t="s">
        <v>184</v>
      </c>
      <c r="B30" s="39" t="s">
        <v>17</v>
      </c>
      <c r="C30" s="39">
        <v>21.8</v>
      </c>
      <c r="D30" s="39">
        <v>55</v>
      </c>
    </row>
    <row r="31" spans="1:4" x14ac:dyDescent="0.25">
      <c r="A31" s="40" t="s">
        <v>74</v>
      </c>
      <c r="B31" s="40" t="s">
        <v>15</v>
      </c>
      <c r="C31" s="40">
        <v>19.399999999999999</v>
      </c>
      <c r="D31" s="40">
        <v>58</v>
      </c>
    </row>
    <row r="32" spans="1:4" x14ac:dyDescent="0.25">
      <c r="A32" s="41" t="s">
        <v>242</v>
      </c>
      <c r="B32" s="41" t="s">
        <v>234</v>
      </c>
      <c r="C32" s="41">
        <v>26.5</v>
      </c>
      <c r="D32" s="41">
        <v>66</v>
      </c>
    </row>
    <row r="33" spans="1:4" x14ac:dyDescent="0.25">
      <c r="A33" s="41" t="s">
        <v>233</v>
      </c>
      <c r="B33" s="41" t="s">
        <v>234</v>
      </c>
      <c r="C33" s="41">
        <v>26.6</v>
      </c>
      <c r="D33" s="41">
        <v>67</v>
      </c>
    </row>
    <row r="34" spans="1:4" x14ac:dyDescent="0.25">
      <c r="A34" s="39" t="s">
        <v>173</v>
      </c>
      <c r="B34" s="39" t="s">
        <v>17</v>
      </c>
      <c r="C34" s="39">
        <v>27.4</v>
      </c>
      <c r="D34" s="39">
        <v>68</v>
      </c>
    </row>
    <row r="35" spans="1:4" x14ac:dyDescent="0.25">
      <c r="A35" s="41" t="s">
        <v>246</v>
      </c>
      <c r="B35" s="41" t="s">
        <v>234</v>
      </c>
      <c r="C35" s="41">
        <v>27.8</v>
      </c>
      <c r="D35" s="41">
        <v>69</v>
      </c>
    </row>
    <row r="36" spans="1:4" x14ac:dyDescent="0.25">
      <c r="A36" s="41" t="s">
        <v>253</v>
      </c>
      <c r="B36" s="41" t="s">
        <v>234</v>
      </c>
      <c r="C36" s="41">
        <v>30.4</v>
      </c>
      <c r="D36" s="41">
        <v>76</v>
      </c>
    </row>
    <row r="37" spans="1:4" x14ac:dyDescent="0.25">
      <c r="A37" s="39" t="s">
        <v>138</v>
      </c>
      <c r="B37" s="39" t="s">
        <v>139</v>
      </c>
      <c r="C37" s="39">
        <v>32.6</v>
      </c>
      <c r="D37" s="39">
        <v>81</v>
      </c>
    </row>
    <row r="38" spans="1:4" x14ac:dyDescent="0.25">
      <c r="A38" s="41" t="s">
        <v>264</v>
      </c>
      <c r="B38" s="41" t="s">
        <v>234</v>
      </c>
      <c r="C38" s="41">
        <v>32.700000000000003</v>
      </c>
      <c r="D38" s="41">
        <v>82</v>
      </c>
    </row>
    <row r="39" spans="1:4" x14ac:dyDescent="0.25">
      <c r="A39" s="41" t="s">
        <v>259</v>
      </c>
      <c r="B39" s="41" t="s">
        <v>234</v>
      </c>
      <c r="C39" s="41">
        <v>34.5</v>
      </c>
      <c r="D39" s="41">
        <v>86</v>
      </c>
    </row>
    <row r="40" spans="1:4" x14ac:dyDescent="0.25">
      <c r="A40" s="41" t="s">
        <v>291</v>
      </c>
      <c r="B40" s="41" t="s">
        <v>285</v>
      </c>
      <c r="C40" s="41">
        <v>77</v>
      </c>
      <c r="D40" s="41">
        <v>144</v>
      </c>
    </row>
    <row r="41" spans="1:4" x14ac:dyDescent="0.25">
      <c r="A41" s="41" t="s">
        <v>298</v>
      </c>
      <c r="B41" s="41" t="s">
        <v>285</v>
      </c>
      <c r="C41" s="41">
        <v>77.900000000000006</v>
      </c>
      <c r="D41" s="41">
        <v>146</v>
      </c>
    </row>
    <row r="42" spans="1:4" x14ac:dyDescent="0.25">
      <c r="A42" s="41" t="s">
        <v>284</v>
      </c>
      <c r="B42" s="41" t="s">
        <v>285</v>
      </c>
      <c r="C42" s="41">
        <v>88.7</v>
      </c>
      <c r="D42" s="41">
        <v>166</v>
      </c>
    </row>
  </sheetData>
  <mergeCells count="2">
    <mergeCell ref="A1:E1"/>
    <mergeCell ref="A2:E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Full Landscape</vt:lpstr>
      <vt:lpstr>Tier 1 - Direct Competitors</vt:lpstr>
      <vt:lpstr>Fee Benchmark</vt:lpstr>
      <vt:lpstr>Distance from Canggu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Costine Han</cp:lastModifiedBy>
  <cp:revision>1</cp:revision>
  <dcterms:created xsi:type="dcterms:W3CDTF">2026-08-17T08:21:21Z</dcterms:created>
  <dcterms:modified xsi:type="dcterms:W3CDTF">2026-08-17T08:41:58Z</dcterms:modified>
  <dc:language>en-US</dc:language>
</cp:coreProperties>
</file>